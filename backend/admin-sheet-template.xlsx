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embers" sheetId="2" state="visible" r:id="rId4"/>
    <sheet name="Completions" sheetId="3" state="visible" r:id="rId5"/>
    <sheet name="Live Progress" sheetId="4" state="visible" r:id="rId6"/>
    <sheet name="Tasks 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<sst xmlns="http://schemas.openxmlformats.org/spreadsheetml/2006/main" count="189" uniqueCount="143">
  <si>
    <t xml:space="preserve">First Five Project — Admin Sheet</t>
  </si>
  <si>
    <t xml:space="preserve">Live progress tracker for the National Conference</t>
  </si>
  <si>
    <t xml:space="preserve">How this sheet is wired up</t>
  </si>
  <si>
    <t xml:space="preserve">1.  This is the SHEET tab structure expected by the Apps Script backend (Code.gs).</t>
  </si>
  <si>
    <t xml:space="preserve">2.  Upload this file to Google Drive, open it as a Google Sheet, then follow backend/SETUP.md to attach Code.gs.</t>
  </si>
  <si>
    <t xml:space="preserve">3.  The Apps Script will write to 'Members' (when someone signs up) and 'Completions' (when they finish a task).</t>
  </si>
  <si>
    <t xml:space="preserve">4.  'Live Progress' is formula-driven — it auto-summarizes Members + Completions. You don't write to it; just watch it during the conference.</t>
  </si>
  <si>
    <t xml:space="preserve">5.  Refresh frequency: Google Sheets recalculates automatically every few seconds when data arrives. Your view will update live.</t>
  </si>
  <si>
    <t xml:space="preserve">6.  During conference: leave Live Progress open on a second monitor. Sort by 'Last Activity' to see who just earned a badge.</t>
  </si>
  <si>
    <t xml:space="preserve">7.  Privacy: Only people you explicitly share the Sheet with will see member data. Don't share the link publicly.</t>
  </si>
  <si>
    <t xml:space="preserve">8.  Photos: signature and photo blobs are stored in 'Completions' as base64 strings (only photos under ~200KB). Click a cell to peek.</t>
  </si>
  <si>
    <t xml:space="preserve">Pro tip</t>
  </si>
  <si>
    <t xml:space="preserve">Build a tiny pivot or chart on Live Progress (Insert &gt; Chart in Google Sheets) showing percent completion by chapter. Project it on a screen at the back of the registration table. Members love seeing their chapter climb.</t>
  </si>
  <si>
    <t xml:space="preserve">email</t>
  </si>
  <si>
    <t xml:space="preserve">name</t>
  </si>
  <si>
    <t xml:space="preserve">chapter</t>
  </si>
  <si>
    <t xml:space="preserve">year</t>
  </si>
  <si>
    <t xml:space="preserve">headline</t>
  </si>
  <si>
    <t xml:space="preserve">source</t>
  </si>
  <si>
    <t xml:space="preserve">created_at</t>
  </si>
  <si>
    <t xml:space="preserve">tyrone@example.org</t>
  </si>
  <si>
    <t xml:space="preserve">Tyrone Gentry</t>
  </si>
  <si>
    <t xml:space="preserve">Texas Alpha</t>
  </si>
  <si>
    <t xml:space="preserve">I'd love to talk to someone about: 4-H program design.</t>
  </si>
  <si>
    <t xml:space="preserve">seed</t>
  </si>
  <si>
    <t xml:space="preserve">marisol@example.org</t>
  </si>
  <si>
    <t xml:space="preserve">Marisol Vega</t>
  </si>
  <si>
    <t xml:space="preserve">California Beta</t>
  </si>
  <si>
    <t xml:space="preserve">I'd love to talk to someone about: rural broadband adoption.</t>
  </si>
  <si>
    <t xml:space="preserve">denzel@example.org</t>
  </si>
  <si>
    <t xml:space="preserve">Denzel Carter</t>
  </si>
  <si>
    <t xml:space="preserve">Georgia Gamma</t>
  </si>
  <si>
    <t xml:space="preserve">I'd love to talk to someone about: livestock economics.</t>
  </si>
  <si>
    <t xml:space="preserve">fiona@example.org</t>
  </si>
  <si>
    <t xml:space="preserve">Fiona O'Connell</t>
  </si>
  <si>
    <t xml:space="preserve">Iowa Delta</t>
  </si>
  <si>
    <t xml:space="preserve">I'd love to talk to someone about: nutrition curriculum for K-5.</t>
  </si>
  <si>
    <t xml:space="preserve">jamal@example.org</t>
  </si>
  <si>
    <t xml:space="preserve">Jamal Whitfield</t>
  </si>
  <si>
    <t xml:space="preserve">Florida Epsilon</t>
  </si>
  <si>
    <t xml:space="preserve">I'd love to talk to someone about: state-fair extension exhibits.</t>
  </si>
  <si>
    <t xml:space="preserve">anya@example.org</t>
  </si>
  <si>
    <t xml:space="preserve">Anya Okonkwo</t>
  </si>
  <si>
    <t xml:space="preserve">New York Zeta</t>
  </si>
  <si>
    <t xml:space="preserve">I'd love to talk to someone about: climate-smart small farms.</t>
  </si>
  <si>
    <t xml:space="preserve">task_id</t>
  </si>
  <si>
    <t xml:space="preserve">proof_kind</t>
  </si>
  <si>
    <t xml:space="preserve">validator</t>
  </si>
  <si>
    <t xml:space="preserve">answer</t>
  </si>
  <si>
    <t xml:space="preserve">photo_data_url</t>
  </si>
  <si>
    <t xml:space="preserve">completed_at</t>
  </si>
  <si>
    <t xml:space="preserve">(Empty until a member completes their first task)</t>
  </si>
  <si>
    <t xml:space="preserve">Live Progress Dashboard</t>
  </si>
  <si>
    <t xml:space="preserve">Conference Snapshot</t>
  </si>
  <si>
    <t xml:space="preserve">This sheet recalculates automatically as Members and Completions are written by the app.</t>
  </si>
  <si>
    <t xml:space="preserve">Total members</t>
  </si>
  <si>
    <t xml:space="preserve">Members with ≥1 task</t>
  </si>
  <si>
    <t xml:space="preserve">points</t>
  </si>
  <si>
    <t xml:space="preserve">Email</t>
  </si>
  <si>
    <t xml:space="preserve">Name</t>
  </si>
  <si>
    <t xml:space="preserve">Chapter</t>
  </si>
  <si>
    <t xml:space="preserve">Year</t>
  </si>
  <si>
    <t xml:space="preserve">Tasks Done</t>
  </si>
  <si>
    <t xml:space="preserve">Points</t>
  </si>
  <si>
    <t xml:space="preserve">Tier</t>
  </si>
  <si>
    <t xml:space="preserve">Last Activity</t>
  </si>
  <si>
    <t xml:space="preserve">Tasks completed total</t>
  </si>
  <si>
    <t xml:space="preserve">T01</t>
  </si>
  <si>
    <t xml:space="preserve">Bronze tier</t>
  </si>
  <si>
    <t xml:space="preserve">T02</t>
  </si>
  <si>
    <t xml:space="preserve">Silver tier</t>
  </si>
  <si>
    <t xml:space="preserve">T03</t>
  </si>
  <si>
    <t xml:space="preserve">Gold tier</t>
  </si>
  <si>
    <t xml:space="preserve">T04</t>
  </si>
  <si>
    <t xml:space="preserve">T05</t>
  </si>
  <si>
    <t xml:space="preserve">T06</t>
  </si>
  <si>
    <t xml:space="preserve">T07</t>
  </si>
  <si>
    <t xml:space="preserve">T08</t>
  </si>
  <si>
    <t xml:space="preserve">T09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</si>
  <si>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</si>
  <si>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</si>
  <si>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</si>
  <si>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</si>
  <si>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</si>
  <si>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</si>
  <si>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task_name</t>
  </si>
  <si>
    <t xml:space="preserve">category</t>
  </si>
  <si>
    <t xml:space="preserve">proof_type</t>
  </si>
  <si>
    <t xml:space="preserve">where</t>
  </si>
  <si>
    <t xml:space="preserve">mission_tie_in</t>
  </si>
  <si>
    <t xml:space="preserve">Attend the First-Timer's Welcome</t>
  </si>
  <si>
    <t xml:space="preserve">Conference Anchor</t>
  </si>
  <si>
    <t xml:space="preserve">Signature</t>
  </si>
  <si>
    <t xml:space="preserve">Main Hall · Day 1, 9:00 AM</t>
  </si>
  <si>
    <t xml:space="preserve">Article XI – Creed: shared experience and fellowship.</t>
  </si>
  <si>
    <t xml:space="preserve">Meet a National Board Member</t>
  </si>
  <si>
    <t xml:space="preserve">Networking</t>
  </si>
  <si>
    <t xml:space="preserve">Networking Lounge · Days 1-3</t>
  </si>
  <si>
    <t xml:space="preserve">Strategic Goal 1: Increase value of ESP National to chapters.</t>
  </si>
  <si>
    <t xml:space="preserve">Visit the Poster Session</t>
  </si>
  <si>
    <t xml:space="preserve">Professional Development</t>
  </si>
  <si>
    <t xml:space="preserve">Photo</t>
  </si>
  <si>
    <t xml:space="preserve">Hall B · Day 2</t>
  </si>
  <si>
    <t xml:space="preserve">Strategic Goal 2: Excellence through professional development.</t>
  </si>
  <si>
    <t xml:space="preserve">Selfie at the Centennial Countdown Wall</t>
  </si>
  <si>
    <t xml:space="preserve">ESP Identity</t>
  </si>
  <si>
    <t xml:space="preserve">Lobby · Anytime</t>
  </si>
  <si>
    <t xml:space="preserve">ESP heritage and the path to 100 years.</t>
  </si>
  <si>
    <t xml:space="preserve">Knowledge Check: Opening Keynote</t>
  </si>
  <si>
    <t xml:space="preserve">Knowledge</t>
  </si>
  <si>
    <t xml:space="preserve">Quiz</t>
  </si>
  <si>
    <t xml:space="preserve">After Day 1 keynote</t>
  </si>
  <si>
    <t xml:space="preserve">Strategic Goal 2: Professional development.</t>
  </si>
  <si>
    <t xml:space="preserve">Introduce Yourself to Three New Chapters</t>
  </si>
  <si>
    <t xml:space="preserve">Anywhere · By end of Day 2</t>
  </si>
  <si>
    <t xml:space="preserve">Strategic Goal 1: Connect chapters across the country.</t>
  </si>
  <si>
    <t xml:space="preserve">Attend a Committee Meeting</t>
  </si>
  <si>
    <t xml:space="preserve">See conference program · Day 2</t>
  </si>
  <si>
    <t xml:space="preserve">Article I – Mission: governance through committees.</t>
  </si>
  <si>
    <t xml:space="preserve">Knowledge Check: A Scholarship I Could Apply For</t>
  </si>
  <si>
    <t xml:space="preserve">After Awards &amp; Scholarships booth</t>
  </si>
  <si>
    <t xml:space="preserve">Strategic Goal 2: Development opportunities.</t>
  </si>
  <si>
    <t xml:space="preserve">Photo with a Mentor</t>
  </si>
  <si>
    <t xml:space="preserve">Anywhere · Days 1-3</t>
  </si>
  <si>
    <t xml:space="preserve">Article XI – Creed: 'share with others the lessons of my experience.'</t>
  </si>
  <si>
    <t xml:space="preserve">Visit Your Regional Caucus</t>
  </si>
  <si>
    <t xml:space="preserve">Strategic Goal: Enhance chapter leader engagement.</t>
  </si>
  <si>
    <t xml:space="preserve">Knowledge Check: First-Timer's Session</t>
  </si>
  <si>
    <t xml:space="preserve">After the First-Timer's session, Day 1</t>
  </si>
  <si>
    <t xml:space="preserve">Article XI – Creed: fellowship and shared learning.</t>
  </si>
  <si>
    <t xml:space="preserve">Sign Up for a Committee for Next Year</t>
  </si>
  <si>
    <t xml:space="preserve">Engagement</t>
  </si>
  <si>
    <t xml:space="preserve">Membership table · Days 2-3</t>
  </si>
  <si>
    <t xml:space="preserve">Strategic Goal 1: Connect national committees to chapter units.</t>
  </si>
  <si>
    <t xml:space="preserve">Attend a Session Outside Your Discipline</t>
  </si>
  <si>
    <t xml:space="preserve">Any breakout · Days 1-3</t>
  </si>
  <si>
    <t xml:space="preserve">Strategic Goal 2: Multi-disciplinary professional development.</t>
  </si>
  <si>
    <t xml:space="preserve">Closing Banquet Attendance</t>
  </si>
  <si>
    <t xml:space="preserve">Banquet Hall · Final evening</t>
  </si>
  <si>
    <t xml:space="preserve">ESP heritage and recognition tradition.</t>
  </si>
  <si>
    <t xml:space="preserve">Reflection: What Will You Bring Home?</t>
  </si>
  <si>
    <t xml:space="preserve">Last day, after closing remarks</t>
  </si>
  <si>
    <t xml:space="preserve">Article XI – Creed: 'apply lessons learned' to my home work.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</si>
</sst>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B365D"/>
      <name val="Arial"/>
      <family val="0"/>
      <charset val="1"/>
    </font>
    <font>
      <i val="true"/>
      <sz val="12"/>
      <color rgb="FFE87722"/>
      <name val="Arial"/>
      <family val="0"/>
      <charset val="1"/>
    </font>
    <font>
      <b val="true"/>
      <sz val="14"/>
      <color rgb="FF1B365D"/>
      <name val="Arial"/>
      <family val="0"/>
      <charset val="1"/>
    </font>
    <font>
      <sz val="11"/>
      <color rgb="FF303644"/>
      <name val="Arial"/>
      <family val="0"/>
      <charset val="1"/>
    </font>
    <font>
      <b val="true"/>
      <sz val="14"/>
      <color rgb="FFE87722"/>
      <name val="Arial"/>
      <family val="0"/>
      <charset val="1"/>
    </font>
    <font>
      <i val="true"/>
      <sz val="11"/>
      <color rgb="FF3036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909090"/>
      <name val="Arial"/>
      <family val="0"/>
      <charset val="1"/>
    </font>
    <font>
      <b val="true"/>
      <sz val="18"/>
      <color rgb="FF1B365D"/>
      <name val="Arial"/>
      <family val="0"/>
      <charset val="1"/>
    </font>
    <font>
      <i val="true"/>
      <sz val="10"/>
      <color rgb="FF606060"/>
      <name val="Arial"/>
      <family val="0"/>
      <charset val="1"/>
    </font>
    <font>
      <b val="true"/>
      <sz val="10"/>
      <color rgb="FF1B365D"/>
      <name val="Arial"/>
      <family val="0"/>
      <charset val="1"/>
    </font>
    <font>
      <sz val="11"/>
      <color rgb="FFE87722"/>
      <name val="Arial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303644"/>
      </patternFill>
    </fill>
    <fill>
      <patternFill patternType="solid">
        <fgColor rgb="FFFAF7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E9B0"/>
        </patternFill>
      </fill>
    </dxf>
    <dxf>
      <fill>
        <patternFill>
          <bgColor rgb="FFE8E8E8"/>
        </patternFill>
      </fill>
    </dxf>
    <dxf>
      <fill>
        <patternFill>
          <bgColor rgb="FFF4DDC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7F2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B0"/>
      <rgbColor rgb="FF99CCFF"/>
      <rgbColor rgb="FFFF99CC"/>
      <rgbColor rgb="FFCC99FF"/>
      <rgbColor rgb="FFF4DDC1"/>
      <rgbColor rgb="FF3366FF"/>
      <rgbColor rgb="FF33CCCC"/>
      <rgbColor rgb="FF99CC00"/>
      <rgbColor rgb="FFFFCC00"/>
      <rgbColor rgb="FFFF9900"/>
      <rgbColor rgb="FFE87722"/>
      <rgbColor rgb="FF606060"/>
      <rgbColor rgb="FF909090"/>
      <rgbColor rgb="FF1B365D"/>
      <rgbColor rgb="FF339966"/>
      <rgbColor rgb="FF003300"/>
      <rgbColor rgb="FF333300"/>
      <rgbColor rgb="FF993300"/>
      <rgbColor rgb="FF993366"/>
      <rgbColor rgb="FF333399"/>
      <rgbColor rgb="FF3036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7.35" hidden="false" customHeight="false" outlineLevel="0" collapsed="false">
      <c r="B5" s="3" t="s">
        <v>2</v>
      </c>
    </row>
    <row r="6" customFormat="false" ht="25.5" hidden="false" customHeight="true" outlineLevel="0" collapsed="false">
      <c r="B6" s="4" t="s">
        <v>3</v>
      </c>
    </row>
    <row r="7" customFormat="false" ht="25.5" hidden="false" customHeight="true" outlineLevel="0" collapsed="false">
      <c r="B7" s="4" t="s">
        <v>4</v>
      </c>
    </row>
    <row r="8" customFormat="false" ht="25.5" hidden="false" customHeight="true" outlineLevel="0" collapsed="false">
      <c r="B8" s="4" t="s">
        <v>5</v>
      </c>
    </row>
    <row r="9" customFormat="false" ht="25.5" hidden="false" customHeight="true" outlineLevel="0" collapsed="false">
      <c r="B9" s="4" t="s">
        <v>6</v>
      </c>
    </row>
    <row r="10" customFormat="false" ht="25.5" hidden="false" customHeight="true" outlineLevel="0" collapsed="false">
      <c r="B10" s="4" t="s">
        <v>7</v>
      </c>
    </row>
    <row r="11" customFormat="false" ht="25.5" hidden="false" customHeight="true" outlineLevel="0" collapsed="false">
      <c r="B11" s="4" t="s">
        <v>8</v>
      </c>
    </row>
    <row r="12" customFormat="false" ht="25.5" hidden="false" customHeight="true" outlineLevel="0" collapsed="false">
      <c r="B12" s="4" t="s">
        <v>9</v>
      </c>
    </row>
    <row r="13" customFormat="false" ht="25.5" hidden="false" customHeight="true" outlineLevel="0" collapsed="false">
      <c r="B13" s="4" t="s">
        <v>10</v>
      </c>
    </row>
    <row r="15" customFormat="false" ht="17.35" hidden="false" customHeight="false" outlineLevel="0" collapsed="false">
      <c r="B15" s="5" t="s">
        <v>11</v>
      </c>
    </row>
    <row r="16" customFormat="false" ht="60" hidden="false" customHeight="true" outlineLevel="0" collapsed="false">
      <c r="B16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8"/>
    <col collapsed="false" customWidth="true" hidden="false" outlineLevel="0" max="5" min="5" style="0" width="50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</row>
    <row r="2" customFormat="false" ht="31.5" hidden="false" customHeight="true" outlineLevel="0" collapsed="false">
      <c r="A2" s="8" t="s">
        <v>20</v>
      </c>
      <c r="B2" s="8" t="s">
        <v>21</v>
      </c>
      <c r="C2" s="8" t="s">
        <v>22</v>
      </c>
      <c r="D2" s="8" t="n">
        <v>2</v>
      </c>
      <c r="E2" s="8" t="s">
        <v>23</v>
      </c>
      <c r="F2" s="8" t="s">
        <v>24</v>
      </c>
      <c r="G2" s="8"/>
    </row>
    <row r="3" customFormat="false" ht="31.5" hidden="false" customHeight="true" outlineLevel="0" collapsed="false">
      <c r="A3" s="9" t="s">
        <v>25</v>
      </c>
      <c r="B3" s="9" t="s">
        <v>26</v>
      </c>
      <c r="C3" s="9" t="s">
        <v>27</v>
      </c>
      <c r="D3" s="9" t="n">
        <v>1</v>
      </c>
      <c r="E3" s="9" t="s">
        <v>28</v>
      </c>
      <c r="F3" s="9" t="s">
        <v>24</v>
      </c>
      <c r="G3" s="9"/>
    </row>
    <row r="4" customFormat="false" ht="31.5" hidden="false" customHeight="true" outlineLevel="0" collapsed="false">
      <c r="A4" s="8" t="s">
        <v>29</v>
      </c>
      <c r="B4" s="8" t="s">
        <v>30</v>
      </c>
      <c r="C4" s="8" t="s">
        <v>31</v>
      </c>
      <c r="D4" s="8" t="n">
        <v>3</v>
      </c>
      <c r="E4" s="8" t="s">
        <v>32</v>
      </c>
      <c r="F4" s="8" t="s">
        <v>24</v>
      </c>
      <c r="G4" s="8"/>
    </row>
    <row r="5" customFormat="false" ht="31.5" hidden="false" customHeight="true" outlineLevel="0" collapsed="false">
      <c r="A5" s="9" t="s">
        <v>33</v>
      </c>
      <c r="B5" s="9" t="s">
        <v>34</v>
      </c>
      <c r="C5" s="9" t="s">
        <v>35</v>
      </c>
      <c r="D5" s="9" t="n">
        <v>2</v>
      </c>
      <c r="E5" s="9" t="s">
        <v>36</v>
      </c>
      <c r="F5" s="9" t="s">
        <v>24</v>
      </c>
      <c r="G5" s="9"/>
    </row>
    <row r="6" customFormat="false" ht="31.5" hidden="false" customHeight="true" outlineLevel="0" collapsed="false">
      <c r="A6" s="8" t="s">
        <v>37</v>
      </c>
      <c r="B6" s="8" t="s">
        <v>38</v>
      </c>
      <c r="C6" s="8" t="s">
        <v>39</v>
      </c>
      <c r="D6" s="8" t="n">
        <v>4</v>
      </c>
      <c r="E6" s="8" t="s">
        <v>40</v>
      </c>
      <c r="F6" s="8" t="s">
        <v>24</v>
      </c>
      <c r="G6" s="8"/>
    </row>
    <row r="7" customFormat="false" ht="31.5" hidden="false" customHeight="true" outlineLevel="0" collapsed="false">
      <c r="A7" s="9" t="s">
        <v>41</v>
      </c>
      <c r="B7" s="9" t="s">
        <v>42</v>
      </c>
      <c r="C7" s="9" t="s">
        <v>43</v>
      </c>
      <c r="D7" s="9" t="n">
        <v>1</v>
      </c>
      <c r="E7" s="9" t="s">
        <v>44</v>
      </c>
      <c r="F7" s="9" t="s">
        <v>24</v>
      </c>
      <c r="G7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7" t="s">
        <v>13</v>
      </c>
      <c r="B1" s="7" t="s">
        <v>45</v>
      </c>
      <c r="C1" s="7" t="s">
        <v>46</v>
      </c>
      <c r="D1" s="7" t="s">
        <v>47</v>
      </c>
      <c r="E1" s="7" t="s">
        <v>48</v>
      </c>
      <c r="F1" s="7" t="s">
        <v>49</v>
      </c>
      <c r="G1" s="7" t="s">
        <v>50</v>
      </c>
    </row>
    <row r="2" customFormat="false" ht="15" hidden="false" customHeight="false" outlineLevel="0" collapsed="false">
      <c r="A2" s="1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9" min="8" style="0" width="22"/>
    <col collapsed="false" customWidth="true" hidden="true" outlineLevel="0" max="11" min="10" style="0" width="13"/>
    <col collapsed="false" customWidth="true" hidden="false" outlineLevel="0" max="12" min="12" style="0" width="14"/>
  </cols>
  <sheetData>
    <row r="1" customFormat="false" ht="22.05" hidden="false" customHeight="false" outlineLevel="0" collapsed="false">
      <c r="A1" s="11" t="s">
        <v>52</v>
      </c>
      <c r="B1" s="11"/>
      <c r="C1" s="11"/>
      <c r="D1" s="11"/>
      <c r="E1" s="11"/>
      <c r="F1" s="11"/>
      <c r="G1" s="11"/>
      <c r="I1" s="3" t="s">
        <v>53</v>
      </c>
    </row>
    <row r="2" customFormat="false" ht="15" hidden="false" customHeight="false" outlineLevel="0" collapsed="false">
      <c r="A2" s="12" t="s">
        <v>54</v>
      </c>
      <c r="B2" s="12"/>
      <c r="C2" s="12"/>
      <c r="D2" s="12"/>
      <c r="E2" s="12"/>
      <c r="F2" s="12"/>
      <c r="G2" s="12"/>
      <c r="I2" s="13" t="s">
        <v>55</v>
      </c>
      <c r="L2" s="14" t="n">
        <f aca="false">COUNTIF(A5:A504,"?*")</f>
        <v>6</v>
      </c>
    </row>
    <row r="3" customFormat="false" ht="15" hidden="false" customHeight="false" outlineLevel="0" collapsed="false">
      <c r="I3" s="13" t="s">
        <v>56</v>
      </c>
      <c r="J3" s="15" t="s">
        <v>45</v>
      </c>
      <c r="K3" s="15" t="s">
        <v>57</v>
      </c>
      <c r="L3" s="14" t="n">
        <f aca="false">COUNTIF(E5:E504,"&gt;0")</f>
        <v>0</v>
      </c>
    </row>
    <row r="4" customFormat="false" ht="27.75" hidden="false" customHeight="true" outlineLevel="0" collapsed="false">
      <c r="A4" s="7" t="s">
        <v>58</v>
      </c>
      <c r="B4" s="7" t="s">
        <v>59</v>
      </c>
      <c r="C4" s="7" t="s">
        <v>60</v>
      </c>
      <c r="D4" s="7" t="s">
        <v>61</v>
      </c>
      <c r="E4" s="7" t="s">
        <v>62</v>
      </c>
      <c r="F4" s="7" t="s">
        <v>63</v>
      </c>
      <c r="G4" s="7" t="s">
        <v>64</v>
      </c>
      <c r="H4" s="7" t="s">
        <v>65</v>
      </c>
      <c r="I4" s="13" t="s">
        <v>66</v>
      </c>
      <c r="J4" s="0" t="s">
        <v>67</v>
      </c>
      <c r="K4" s="0" t="n">
        <v>3</v>
      </c>
      <c r="L4" s="14" t="n">
        <f aca="false">SUM(E5:E504)</f>
        <v>0</v>
      </c>
    </row>
    <row r="5" customFormat="false" ht="21.75" hidden="false" customHeight="true" outlineLevel="0" collapsed="false">
      <c r="A5" s="16" t="str">
        <f aca="false">IFERROR(IF(Members!A2="","",Members!A2),"")</f>
        <v>tyrone@example.org</v>
      </c>
      <c r="B5" s="16" t="str">
        <f aca="false">IFERROR(IF(Members!A2="","",Members!B2),"")</f>
        <v>Tyrone Gentry</v>
      </c>
      <c r="C5" s="16" t="str">
        <f aca="false">IFERROR(IF(Members!A2="","",Members!C2),"")</f>
        <v>Texas Alpha</v>
      </c>
      <c r="D5" s="16" t="n">
        <f aca="false">IFERROR(IF(Members!A2="","",Members!D2),"")</f>
        <v>2</v>
      </c>
      <c r="E5" s="16" t="n">
        <f aca="false">IF(A5="","",COUNTIF(Completions!A:A,A5))</f>
        <v>0</v>
      </c>
      <c r="F5" s="16" t="n">
        <f aca="false">IF(A5="","",SUMPRODUCT((Completions!A$2:A$5000=A5)*IFERROR(VLOOKUP(Completions!B$2:B$5000,$J$4:$K$18,2,FALSE()),0)))</f>
        <v>0</v>
      </c>
      <c r="G5" s="16" t="str">
        <f aca="false">IF(A5="","",IF(F5&gt;=20,"Gold",IF(F5&gt;=14,"Silver",IF(F5&gt;=8,"Bronze","—"))))</f>
        <v>—</v>
      </c>
      <c r="H5" s="16" t="str">
        <f aca="false">IF(A5="","",IFERROR(TEXT(maxifs(Completions!G:G,Completions!A:A,A5),"yyyy-mm-dd hh:mm"),"—"))</f>
        <v>—</v>
      </c>
      <c r="I5" s="13" t="s">
        <v>68</v>
      </c>
      <c r="J5" s="0" t="s">
        <v>69</v>
      </c>
      <c r="K5" s="0" t="n">
        <v>3</v>
      </c>
      <c r="L5" s="14" t="n">
        <f aca="false">COUNTIF(G5:G504,"Bronze")</f>
        <v>0</v>
      </c>
    </row>
    <row r="6" customFormat="false" ht="21.75" hidden="false" customHeight="true" outlineLevel="0" collapsed="false">
      <c r="A6" s="17" t="str">
        <f aca="false">IFERROR(IF(Members!A3="","",Members!A3),"")</f>
        <v>marisol@example.org</v>
      </c>
      <c r="B6" s="17" t="str">
        <f aca="false">IFERROR(IF(Members!A3="","",Members!B3),"")</f>
        <v>Marisol Vega</v>
      </c>
      <c r="C6" s="17" t="str">
        <f aca="false">IFERROR(IF(Members!A3="","",Members!C3),"")</f>
        <v>California Beta</v>
      </c>
      <c r="D6" s="17" t="n">
        <f aca="false">IFERROR(IF(Members!A3="","",Members!D3),"")</f>
        <v>1</v>
      </c>
      <c r="E6" s="17" t="n">
        <f aca="false">IF(A6="","",COUNTIF(Completions!A:A,A6))</f>
        <v>0</v>
      </c>
      <c r="F6" s="17" t="n">
        <f aca="false">IF(A6="","",SUMPRODUCT((Completions!A$2:A$5000=A6)*IFERROR(VLOOKUP(Completions!B$2:B$5000,$J$4:$K$18,2,FALSE()),0)))</f>
        <v>0</v>
      </c>
      <c r="G6" s="17" t="str">
        <f aca="false">IF(A6="","",IF(F6&gt;=20,"Gold",IF(F6&gt;=14,"Silver",IF(F6&gt;=8,"Bronze","—"))))</f>
        <v>—</v>
      </c>
      <c r="H6" s="17" t="str">
        <f aca="false">IF(A6="","",IFERROR(TEXT(maxifs(Completions!G:G,Completions!A:A,A6),"yyyy-mm-dd hh:mm"),"—"))</f>
        <v>—</v>
      </c>
      <c r="I6" s="13" t="s">
        <v>70</v>
      </c>
      <c r="J6" s="0" t="s">
        <v>71</v>
      </c>
      <c r="K6" s="0" t="n">
        <v>2</v>
      </c>
      <c r="L6" s="14" t="n">
        <f aca="false">COUNTIF(G5:G504,"Silver")</f>
        <v>0</v>
      </c>
    </row>
    <row r="7" customFormat="false" ht="21.75" hidden="false" customHeight="true" outlineLevel="0" collapsed="false">
      <c r="A7" s="16" t="str">
        <f aca="false">IFERROR(IF(Members!A4="","",Members!A4),"")</f>
        <v>denzel@example.org</v>
      </c>
      <c r="B7" s="16" t="str">
        <f aca="false">IFERROR(IF(Members!A4="","",Members!B4),"")</f>
        <v>Denzel Carter</v>
      </c>
      <c r="C7" s="16" t="str">
        <f aca="false">IFERROR(IF(Members!A4="","",Members!C4),"")</f>
        <v>Georgia Gamma</v>
      </c>
      <c r="D7" s="16" t="n">
        <f aca="false">IFERROR(IF(Members!A4="","",Members!D4),"")</f>
        <v>3</v>
      </c>
      <c r="E7" s="16" t="n">
        <f aca="false">IF(A7="","",COUNTIF(Completions!A:A,A7))</f>
        <v>0</v>
      </c>
      <c r="F7" s="16" t="n">
        <f aca="false">IF(A7="","",SUMPRODUCT((Completions!A$2:A$5000=A7)*IFERROR(VLOOKUP(Completions!B$2:B$5000,$J$4:$K$18,2,FALSE()),0)))</f>
        <v>0</v>
      </c>
      <c r="G7" s="16" t="str">
        <f aca="false">IF(A7="","",IF(F7&gt;=20,"Gold",IF(F7&gt;=14,"Silver",IF(F7&gt;=8,"Bronze","—"))))</f>
        <v>—</v>
      </c>
      <c r="H7" s="16" t="str">
        <f aca="false">IF(A7="","",IFERROR(TEXT(maxifs(Completions!G:G,Completions!A:A,A7),"yyyy-mm-dd hh:mm"),"—"))</f>
        <v>—</v>
      </c>
      <c r="I7" s="13" t="s">
        <v>72</v>
      </c>
      <c r="J7" s="0" t="s">
        <v>73</v>
      </c>
      <c r="K7" s="0" t="n">
        <v>2</v>
      </c>
      <c r="L7" s="14" t="n">
        <f aca="false">COUNTIF(G5:G504,"Gold")</f>
        <v>0</v>
      </c>
    </row>
    <row r="8" customFormat="false" ht="21.75" hidden="false" customHeight="true" outlineLevel="0" collapsed="false">
      <c r="A8" s="17" t="str">
        <f aca="false">IFERROR(IF(Members!A5="","",Members!A5),"")</f>
        <v>fiona@example.org</v>
      </c>
      <c r="B8" s="17" t="str">
        <f aca="false">IFERROR(IF(Members!A5="","",Members!B5),"")</f>
        <v>Fiona O'Connell</v>
      </c>
      <c r="C8" s="17" t="str">
        <f aca="false">IFERROR(IF(Members!A5="","",Members!C5),"")</f>
        <v>Iowa Delta</v>
      </c>
      <c r="D8" s="17" t="n">
        <f aca="false">IFERROR(IF(Members!A5="","",Members!D5),"")</f>
        <v>2</v>
      </c>
      <c r="E8" s="17" t="n">
        <f aca="false">IF(A8="","",COUNTIF(Completions!A:A,A8))</f>
        <v>0</v>
      </c>
      <c r="F8" s="17" t="n">
        <f aca="false">IF(A8="","",SUMPRODUCT((Completions!A$2:A$5000=A8)*IFERROR(VLOOKUP(Completions!B$2:B$5000,$J$4:$K$18,2,FALSE()),0)))</f>
        <v>0</v>
      </c>
      <c r="G8" s="17" t="str">
        <f aca="false">IF(A8="","",IF(F8&gt;=20,"Gold",IF(F8&gt;=14,"Silver",IF(F8&gt;=8,"Bronze","—"))))</f>
        <v>—</v>
      </c>
      <c r="H8" s="17" t="str">
        <f aca="false">IF(A8="","",IFERROR(TEXT(maxifs(Completions!G:G,Completions!A:A,A8),"yyyy-mm-dd hh:mm"),"—"))</f>
        <v>—</v>
      </c>
      <c r="J8" s="0" t="s">
        <v>74</v>
      </c>
      <c r="K8" s="0" t="n">
        <v>2</v>
      </c>
    </row>
    <row r="9" customFormat="false" ht="21.75" hidden="false" customHeight="true" outlineLevel="0" collapsed="false">
      <c r="A9" s="16" t="str">
        <f aca="false">IFERROR(IF(Members!A6="","",Members!A6),"")</f>
        <v>jamal@example.org</v>
      </c>
      <c r="B9" s="16" t="str">
        <f aca="false">IFERROR(IF(Members!A6="","",Members!B6),"")</f>
        <v>Jamal Whitfield</v>
      </c>
      <c r="C9" s="16" t="str">
        <f aca="false">IFERROR(IF(Members!A6="","",Members!C6),"")</f>
        <v>Florida Epsilon</v>
      </c>
      <c r="D9" s="16" t="n">
        <f aca="false">IFERROR(IF(Members!A6="","",Members!D6),"")</f>
        <v>4</v>
      </c>
      <c r="E9" s="16" t="n">
        <f aca="false">IF(A9="","",COUNTIF(Completions!A:A,A9))</f>
        <v>0</v>
      </c>
      <c r="F9" s="16" t="n">
        <f aca="false">IF(A9="","",SUMPRODUCT((Completions!A$2:A$5000=A9)*IFERROR(VLOOKUP(Completions!B$2:B$5000,$J$4:$K$18,2,FALSE()),0)))</f>
        <v>0</v>
      </c>
      <c r="G9" s="16" t="str">
        <f aca="false">IF(A9="","",IF(F9&gt;=20,"Gold",IF(F9&gt;=14,"Silver",IF(F9&gt;=8,"Bronze","—"))))</f>
        <v>—</v>
      </c>
      <c r="H9" s="16" t="str">
        <f aca="false">IF(A9="","",IFERROR(TEXT(maxifs(Completions!G:G,Completions!A:A,A9),"yyyy-mm-dd hh:mm"),"—"))</f>
        <v>—</v>
      </c>
      <c r="J9" s="0" t="s">
        <v>75</v>
      </c>
      <c r="K9" s="0" t="n">
        <v>4</v>
      </c>
    </row>
    <row r="10" customFormat="false" ht="21.75" hidden="false" customHeight="true" outlineLevel="0" collapsed="false">
      <c r="A10" s="17" t="str">
        <f aca="false">IFERROR(IF(Members!A7="","",Members!A7),"")</f>
        <v>anya@example.org</v>
      </c>
      <c r="B10" s="17" t="str">
        <f aca="false">IFERROR(IF(Members!A7="","",Members!B7),"")</f>
        <v>Anya Okonkwo</v>
      </c>
      <c r="C10" s="17" t="str">
        <f aca="false">IFERROR(IF(Members!A7="","",Members!C7),"")</f>
        <v>New York Zeta</v>
      </c>
      <c r="D10" s="17" t="n">
        <f aca="false">IFERROR(IF(Members!A7="","",Members!D7),"")</f>
        <v>1</v>
      </c>
      <c r="E10" s="17" t="n">
        <f aca="false">IF(A10="","",COUNTIF(Completions!A:A,A10))</f>
        <v>0</v>
      </c>
      <c r="F10" s="17" t="n">
        <f aca="false">IF(A10="","",SUMPRODUCT((Completions!A$2:A$5000=A10)*IFERROR(VLOOKUP(Completions!B$2:B$5000,$J$4:$K$18,2,FALSE()),0)))</f>
        <v>0</v>
      </c>
      <c r="G10" s="17" t="str">
        <f aca="false">IF(A10="","",IF(F10&gt;=20,"Gold",IF(F10&gt;=14,"Silver",IF(F10&gt;=8,"Bronze","—"))))</f>
        <v>—</v>
      </c>
      <c r="H10" s="17" t="str">
        <f aca="false">IF(A10="","",IFERROR(TEXT(maxifs(Completions!G:G,Completions!A:A,A10),"yyyy-mm-dd hh:mm"),"—"))</f>
        <v>—</v>
      </c>
      <c r="J10" s="0" t="s">
        <v>76</v>
      </c>
      <c r="K10" s="0" t="n">
        <v>3</v>
      </c>
    </row>
    <row r="11" customFormat="false" ht="21.75" hidden="false" customHeight="true" outlineLevel="0" collapsed="false">
      <c r="A11" s="16" t="str">
        <f aca="false">IFERROR(IF(Members!A8="","",Members!A8),"")</f>
        <v/>
      </c>
      <c r="B11" s="16" t="str">
        <f aca="false">IFERROR(IF(Members!A8="","",Members!B8),"")</f>
        <v/>
      </c>
      <c r="C11" s="16" t="str">
        <f aca="false">IFERROR(IF(Members!A8="","",Members!C8),"")</f>
        <v/>
      </c>
      <c r="D11" s="16" t="str">
        <f aca="false">IFERROR(IF(Members!A8="","",Members!D8),"")</f>
        <v/>
      </c>
      <c r="E11" s="16" t="str">
        <f aca="false">IF(A11="","",COUNTIF(Completions!A:A,A11))</f>
        <v/>
      </c>
      <c r="F11" s="16" t="str">
        <f aca="false">IF(A11="","",SUMPRODUCT((Completions!A$2:A$5000=A11)*IFERROR(VLOOKUP(Completions!B$2:B$5000,$J$4:$K$18,2,FALSE()),0)))</f>
        <v/>
      </c>
      <c r="G11" s="16" t="str">
        <f aca="false">IF(A11="","",IF(F11&gt;=20,"Gold",IF(F11&gt;=14,"Silver",IF(F11&gt;=8,"Bronze","—"))))</f>
        <v/>
      </c>
      <c r="H11" s="16" t="str">
        <f aca="false">IF(A11="","",IFERROR(TEXT(maxifs(Completions!G:G,Completions!A:A,A11),"yyyy-mm-dd hh:mm"),"—"))</f>
        <v/>
      </c>
      <c r="J11" s="0" t="s">
        <v>77</v>
      </c>
      <c r="K11" s="0" t="n">
        <v>3</v>
      </c>
    </row>
    <row r="12" customFormat="false" ht="21.75" hidden="false" customHeight="true" outlineLevel="0" collapsed="false">
      <c r="A12" s="17" t="str">
        <f aca="false">IFERROR(IF(Members!A9="","",Members!A9),"")</f>
        <v/>
      </c>
      <c r="B12" s="17" t="str">
        <f aca="false">IFERROR(IF(Members!A9="","",Members!B9),"")</f>
        <v/>
      </c>
      <c r="C12" s="17" t="str">
        <f aca="false">IFERROR(IF(Members!A9="","",Members!C9),"")</f>
        <v/>
      </c>
      <c r="D12" s="17" t="str">
        <f aca="false">IFERROR(IF(Members!A9="","",Members!D9),"")</f>
        <v/>
      </c>
      <c r="E12" s="17" t="str">
        <f aca="false">IF(A12="","",COUNTIF(Completions!A:A,A12))</f>
        <v/>
      </c>
      <c r="F12" s="17" t="str">
        <f aca="false">IF(A12="","",SUMPRODUCT((Completions!A$2:A$5000=A12)*IFERROR(VLOOKUP(Completions!B$2:B$5000,$J$4:$K$18,2,FALSE()),0)))</f>
        <v/>
      </c>
      <c r="G12" s="17" t="str">
        <f aca="false">IF(A12="","",IF(F12&gt;=20,"Gold",IF(F12&gt;=14,"Silver",IF(F12&gt;=8,"Bronze","—"))))</f>
        <v/>
      </c>
      <c r="H12" s="17" t="str">
        <f aca="false">IF(A12="","",IFERROR(TEXT(maxifs(Completions!G:G,Completions!A:A,A12),"yyyy-mm-dd hh:mm"),"—"))</f>
        <v/>
      </c>
      <c r="J12" s="0" t="s">
        <v>78</v>
      </c>
      <c r="K12" s="0" t="n">
        <v>3</v>
      </c>
    </row>
    <row r="13" customFormat="false" ht="21.75" hidden="false" customHeight="true" outlineLevel="0" collapsed="false">
      <c r="A13" s="16" t="str">
        <f aca="false">IFERROR(IF(Members!A10="","",Members!A10),"")</f>
        <v/>
      </c>
      <c r="B13" s="16" t="str">
        <f aca="false">IFERROR(IF(Members!A10="","",Members!B10),"")</f>
        <v/>
      </c>
      <c r="C13" s="16" t="str">
        <f aca="false">IFERROR(IF(Members!A10="","",Members!C10),"")</f>
        <v/>
      </c>
      <c r="D13" s="16" t="str">
        <f aca="false">IFERROR(IF(Members!A10="","",Members!D10),"")</f>
        <v/>
      </c>
      <c r="E13" s="16" t="str">
        <f aca="false">IF(A13="","",COUNTIF(Completions!A:A,A13))</f>
        <v/>
      </c>
      <c r="F13" s="16" t="str">
        <f aca="false">IF(A13="","",SUMPRODUCT((Completions!A$2:A$5000=A13)*IFERROR(VLOOKUP(Completions!B$2:B$5000,$J$4:$K$18,2,FALSE()),0)))</f>
        <v/>
      </c>
      <c r="G13" s="16" t="str">
        <f aca="false">IF(A13="","",IF(F13&gt;=20,"Gold",IF(F13&gt;=14,"Silver",IF(F13&gt;=8,"Bronze","—"))))</f>
        <v/>
      </c>
      <c r="H13" s="16" t="str">
        <f aca="false">IF(A13="","",IFERROR(TEXT(maxifs(Completions!G:G,Completions!A:A,A13),"yyyy-mm-dd hh:mm"),"—"))</f>
        <v/>
      </c>
      <c r="J13" s="0" t="s">
        <v>79</v>
      </c>
      <c r="K13" s="0" t="n">
        <v>2</v>
      </c>
    </row>
    <row r="14" customFormat="false" ht="21.75" hidden="false" customHeight="true" outlineLevel="0" collapsed="false">
      <c r="A14" s="17" t="str">
        <f aca="false">IFERROR(IF(Members!A11="","",Members!A11),"")</f>
        <v/>
      </c>
      <c r="B14" s="17" t="str">
        <f aca="false">IFERROR(IF(Members!A11="","",Members!B11),"")</f>
        <v/>
      </c>
      <c r="C14" s="17" t="str">
        <f aca="false">IFERROR(IF(Members!A11="","",Members!C11),"")</f>
        <v/>
      </c>
      <c r="D14" s="17" t="str">
        <f aca="false">IFERROR(IF(Members!A11="","",Members!D11),"")</f>
        <v/>
      </c>
      <c r="E14" s="17" t="str">
        <f aca="false">IF(A14="","",COUNTIF(Completions!A:A,A14))</f>
        <v/>
      </c>
      <c r="F14" s="17" t="str">
        <f aca="false">IF(A14="","",SUMPRODUCT((Completions!A$2:A$5000=A14)*IFERROR(VLOOKUP(Completions!B$2:B$5000,$J$4:$K$18,2,FALSE()),0)))</f>
        <v/>
      </c>
      <c r="G14" s="17" t="str">
        <f aca="false">IF(A14="","",IF(F14&gt;=20,"Gold",IF(F14&gt;=14,"Silver",IF(F14&gt;=8,"Bronze","—"))))</f>
        <v/>
      </c>
      <c r="H14" s="17" t="str">
        <f aca="false">IF(A14="","",IFERROR(TEXT(maxifs(Completions!G:G,Completions!A:A,A14),"yyyy-mm-dd hh:mm"),"—"))</f>
        <v/>
      </c>
      <c r="J14" s="0" t="s">
        <v>80</v>
      </c>
      <c r="K14" s="0" t="n">
        <v>2</v>
      </c>
    </row>
    <row r="15" customFormat="false" ht="21.75" hidden="false" customHeight="true" outlineLevel="0" collapsed="false">
      <c r="A15" s="16" t="str">
        <f aca="false">IFERROR(IF(Members!A12="","",Members!A12),"")</f>
        <v/>
      </c>
      <c r="B15" s="16" t="str">
        <f aca="false">IFERROR(IF(Members!A12="","",Members!B12),"")</f>
        <v/>
      </c>
      <c r="C15" s="16" t="str">
        <f aca="false">IFERROR(IF(Members!A12="","",Members!C12),"")</f>
        <v/>
      </c>
      <c r="D15" s="16" t="str">
        <f aca="false">IFERROR(IF(Members!A12="","",Members!D12),"")</f>
        <v/>
      </c>
      <c r="E15" s="16" t="str">
        <f aca="false">IF(A15="","",COUNTIF(Completions!A:A,A15))</f>
        <v/>
      </c>
      <c r="F15" s="16" t="str">
        <f aca="false">IF(A15="","",SUMPRODUCT((Completions!A$2:A$5000=A15)*IFERROR(VLOOKUP(Completions!B$2:B$5000,$J$4:$K$18,2,FALSE()),0)))</f>
        <v/>
      </c>
      <c r="G15" s="16" t="str">
        <f aca="false">IF(A15="","",IF(F15&gt;=20,"Gold",IF(F15&gt;=14,"Silver",IF(F15&gt;=8,"Bronze","—"))))</f>
        <v/>
      </c>
      <c r="H15" s="16" t="str">
        <f aca="false">IF(A15="","",IFERROR(TEXT(maxifs(Completions!G:G,Completions!A:A,A15),"yyyy-mm-dd hh:mm"),"—"))</f>
        <v/>
      </c>
      <c r="J15" s="0" t="s">
        <v>81</v>
      </c>
      <c r="K15" s="0" t="n">
        <v>4</v>
      </c>
    </row>
    <row r="16" customFormat="false" ht="21.75" hidden="false" customHeight="true" outlineLevel="0" collapsed="false">
      <c r="A16" s="17" t="str">
        <f aca="false">IFERROR(IF(Members!A13="","",Members!A13),"")</f>
        <v/>
      </c>
      <c r="B16" s="17" t="str">
        <f aca="false">IFERROR(IF(Members!A13="","",Members!B13),"")</f>
        <v/>
      </c>
      <c r="C16" s="17" t="str">
        <f aca="false">IFERROR(IF(Members!A13="","",Members!C13),"")</f>
        <v/>
      </c>
      <c r="D16" s="17" t="str">
        <f aca="false">IFERROR(IF(Members!A13="","",Members!D13),"")</f>
        <v/>
      </c>
      <c r="E16" s="17" t="str">
        <f aca="false">IF(A16="","",COUNTIF(Completions!A:A,A16))</f>
        <v/>
      </c>
      <c r="F16" s="17" t="str">
        <f aca="false">IF(A16="","",SUMPRODUCT((Completions!A$2:A$5000=A16)*IFERROR(VLOOKUP(Completions!B$2:B$5000,$J$4:$K$18,2,FALSE()),0)))</f>
        <v/>
      </c>
      <c r="G16" s="17" t="str">
        <f aca="false">IF(A16="","",IF(F16&gt;=20,"Gold",IF(F16&gt;=14,"Silver",IF(F16&gt;=8,"Bronze","—"))))</f>
        <v/>
      </c>
      <c r="H16" s="17" t="str">
        <f aca="false">IF(A16="","",IFERROR(TEXT(maxifs(Completions!G:G,Completions!A:A,A16),"yyyy-mm-dd hh:mm"),"—"))</f>
        <v/>
      </c>
      <c r="J16" s="0" t="s">
        <v>82</v>
      </c>
      <c r="K16" s="0" t="n">
        <v>2</v>
      </c>
    </row>
    <row r="17" customFormat="false" ht="21.75" hidden="false" customHeight="true" outlineLevel="0" collapsed="false">
      <c r="A17" s="16" t="str">
        <f aca="false">IFERROR(IF(Members!A14="","",Members!A14),"")</f>
        <v/>
      </c>
      <c r="B17" s="16" t="str">
        <f aca="false">IFERROR(IF(Members!A14="","",Members!B14),"")</f>
        <v/>
      </c>
      <c r="C17" s="16" t="str">
        <f aca="false">IFERROR(IF(Members!A14="","",Members!C14),"")</f>
        <v/>
      </c>
      <c r="D17" s="16" t="str">
        <f aca="false">IFERROR(IF(Members!A14="","",Members!D14),"")</f>
        <v/>
      </c>
      <c r="E17" s="16" t="str">
        <f aca="false">IF(A17="","",COUNTIF(Completions!A:A,A17))</f>
        <v/>
      </c>
      <c r="F17" s="16" t="str">
        <f aca="false">IF(A17="","",SUMPRODUCT((Completions!A$2:A$5000=A17)*IFERROR(VLOOKUP(Completions!B$2:B$5000,$J$4:$K$18,2,FALSE()),0)))</f>
        <v/>
      </c>
      <c r="G17" s="16" t="str">
        <f aca="false">IF(A17="","",IF(F17&gt;=20,"Gold",IF(F17&gt;=14,"Silver",IF(F17&gt;=8,"Bronze","—"))))</f>
        <v/>
      </c>
      <c r="H17" s="16" t="str">
        <f aca="false">IF(A17="","",IFERROR(TEXT(maxifs(Completions!G:G,Completions!A:A,A17),"yyyy-mm-dd hh:mm"),"—"))</f>
        <v/>
      </c>
      <c r="J17" s="0" t="s">
        <v>83</v>
      </c>
      <c r="K17" s="0" t="n">
        <v>3</v>
      </c>
    </row>
    <row r="18" customFormat="false" ht="21.75" hidden="false" customHeight="true" outlineLevel="0" collapsed="false">
      <c r="A18" s="17" t="str">
        <f aca="false">IFERROR(IF(Members!A15="","",Members!A15),"")</f>
        <v/>
      </c>
      <c r="B18" s="17" t="str">
        <f aca="false">IFERROR(IF(Members!A15="","",Members!B15),"")</f>
        <v/>
      </c>
      <c r="C18" s="17" t="str">
        <f aca="false">IFERROR(IF(Members!A15="","",Members!C15),"")</f>
        <v/>
      </c>
      <c r="D18" s="17" t="str">
        <f aca="false">IFERROR(IF(Members!A15="","",Members!D15),"")</f>
        <v/>
      </c>
      <c r="E18" s="17" t="str">
        <f aca="false">IF(A18="","",COUNTIF(Completions!A:A,A18))</f>
        <v/>
      </c>
      <c r="F18" s="17" t="str">
        <f aca="false">IF(A18="","",SUMPRODUCT((Completions!A$2:A$5000=A18)*IFERROR(VLOOKUP(Completions!B$2:B$5000,$J$4:$K$18,2,FALSE()),0)))</f>
        <v/>
      </c>
      <c r="G18" s="17" t="str">
        <f aca="false">IF(A18="","",IF(F18&gt;=20,"Gold",IF(F18&gt;=14,"Silver",IF(F18&gt;=8,"Bronze","—"))))</f>
        <v/>
      </c>
      <c r="H18" s="17" t="str">
        <f aca="false">IF(A18="","",IFERROR(TEXT(maxifs(Completions!G:G,Completions!A:A,A18),"yyyy-mm-dd hh:mm"),"—"))</f>
        <v/>
      </c>
      <c r="J18" s="0" t="s">
        <v>84</v>
      </c>
      <c r="K18" s="0" t="n">
        <v>2</v>
      </c>
    </row>
    <row r="19" customFormat="false" ht="21.75" hidden="false" customHeight="true" outlineLevel="0" collapsed="false">
      <c r="A19" s="16" t="str">
        <f aca="false">IFERROR(IF(Members!A16="","",Members!A16),"")</f>
        <v/>
      </c>
      <c r="B19" s="16" t="str">
        <f aca="false">IFERROR(IF(Members!A16="","",Members!B16),"")</f>
        <v/>
      </c>
      <c r="C19" s="16" t="str">
        <f aca="false">IFERROR(IF(Members!A16="","",Members!C16),"")</f>
        <v/>
      </c>
      <c r="D19" s="16" t="str">
        <f aca="false">IFERROR(IF(Members!A16="","",Members!D16),"")</f>
        <v/>
      </c>
      <c r="E19" s="16" t="str">
        <f aca="false">IF(A19="","",COUNTIF(Completions!A:A,A19))</f>
        <v/>
      </c>
      <c r="F19" s="16" t="str">
        <f aca="false">IF(A19="","",SUMPRODUCT((Completions!A$2:A$5000=A19)*IFERROR(VLOOKUP(Completions!B$2:B$5000,$J$4:$K$18,2,FALSE()),0)))</f>
        <v/>
      </c>
      <c r="G19" s="16" t="str">
        <f aca="false">IF(A19="","",IF(F19&gt;=20,"Gold",IF(F19&gt;=14,"Silver",IF(F19&gt;=8,"Bronze","—"))))</f>
        <v/>
      </c>
      <c r="H19" s="16" t="str">
        <f aca="false">IF(A19="","",IFERROR(TEXT(maxifs(Completions!G:G,Completions!A:A,A19),"yyyy-mm-dd hh:mm"),"—"))</f>
        <v/>
      </c>
    </row>
    <row r="20" customFormat="false" ht="21.75" hidden="false" customHeight="true" outlineLevel="0" collapsed="false">
      <c r="A20" s="17" t="str">
        <f aca="false">IFERROR(IF(Members!A17="","",Members!A17),"")</f>
        <v/>
      </c>
      <c r="B20" s="17" t="str">
        <f aca="false">IFERROR(IF(Members!A17="","",Members!B17),"")</f>
        <v/>
      </c>
      <c r="C20" s="17" t="str">
        <f aca="false">IFERROR(IF(Members!A17="","",Members!C17),"")</f>
        <v/>
      </c>
      <c r="D20" s="17" t="str">
        <f aca="false">IFERROR(IF(Members!A17="","",Members!D17),"")</f>
        <v/>
      </c>
      <c r="E20" s="17" t="str">
        <f aca="false">IF(A20="","",COUNTIF(Completions!A:A,A20))</f>
        <v/>
      </c>
      <c r="F20" s="17" t="str">
        <f aca="false">IF(A20="","",SUMPRODUCT((Completions!A$2:A$5000=A20)*IFERROR(VLOOKUP(Completions!B$2:B$5000,$J$4:$K$18,2,FALSE()),0)))</f>
        <v/>
      </c>
      <c r="G20" s="17" t="str">
        <f aca="false">IF(A20="","",IF(F20&gt;=20,"Gold",IF(F20&gt;=14,"Silver",IF(F20&gt;=8,"Bronze","—"))))</f>
        <v/>
      </c>
      <c r="H20" s="17" t="str">
        <f aca="false">IF(A20="","",IFERROR(TEXT(maxifs(Completions!G:G,Completions!A:A,A20),"yyyy-mm-dd hh:mm"),"—"))</f>
        <v/>
      </c>
    </row>
    <row r="21" customFormat="false" ht="21.75" hidden="false" customHeight="true" outlineLevel="0" collapsed="false">
      <c r="A21" s="16" t="str">
        <f aca="false">IFERROR(IF(Members!A18="","",Members!A18),"")</f>
        <v/>
      </c>
      <c r="B21" s="16" t="str">
        <f aca="false">IFERROR(IF(Members!A18="","",Members!B18),"")</f>
        <v/>
      </c>
      <c r="C21" s="16" t="str">
        <f aca="false">IFERROR(IF(Members!A18="","",Members!C18),"")</f>
        <v/>
      </c>
      <c r="D21" s="16" t="str">
        <f aca="false">IFERROR(IF(Members!A18="","",Members!D18),"")</f>
        <v/>
      </c>
      <c r="E21" s="16" t="str">
        <f aca="false">IF(A21="","",COUNTIF(Completions!A:A,A21))</f>
        <v/>
      </c>
      <c r="F21" s="16" t="str">
        <f aca="false">IF(A21="","",SUMPRODUCT((Completions!A$2:A$5000=A21)*IFERROR(VLOOKUP(Completions!B$2:B$5000,$J$4:$K$18,2,FALSE()),0)))</f>
        <v/>
      </c>
      <c r="G21" s="16" t="str">
        <f aca="false">IF(A21="","",IF(F21&gt;=20,"Gold",IF(F21&gt;=14,"Silver",IF(F21&gt;=8,"Bronze","—"))))</f>
        <v/>
      </c>
      <c r="H21" s="16" t="str">
        <f aca="false">IF(A21="","",IFERROR(TEXT(maxifs(Completions!G:G,Completions!A:A,A21),"yyyy-mm-dd hh:mm"),"—"))</f>
        <v/>
      </c>
    </row>
    <row r="22" customFormat="false" ht="21.75" hidden="false" customHeight="true" outlineLevel="0" collapsed="false">
      <c r="A22" s="17" t="str">
        <f aca="false">IFERROR(IF(Members!A19="","",Members!A19),"")</f>
        <v/>
      </c>
      <c r="B22" s="17" t="str">
        <f aca="false">IFERROR(IF(Members!A19="","",Members!B19),"")</f>
        <v/>
      </c>
      <c r="C22" s="17" t="str">
        <f aca="false">IFERROR(IF(Members!A19="","",Members!C19),"")</f>
        <v/>
      </c>
      <c r="D22" s="17" t="str">
        <f aca="false">IFERROR(IF(Members!A19="","",Members!D19),"")</f>
        <v/>
      </c>
      <c r="E22" s="17" t="str">
        <f aca="false">IF(A22="","",COUNTIF(Completions!A:A,A22))</f>
        <v/>
      </c>
      <c r="F22" s="17" t="str">
        <f aca="false">IF(A22="","",SUMPRODUCT((Completions!A$2:A$5000=A22)*IFERROR(VLOOKUP(Completions!B$2:B$5000,$J$4:$K$18,2,FALSE()),0)))</f>
        <v/>
      </c>
      <c r="G22" s="17" t="str">
        <f aca="false">IF(A22="","",IF(F22&gt;=20,"Gold",IF(F22&gt;=14,"Silver",IF(F22&gt;=8,"Bronze","—"))))</f>
        <v/>
      </c>
      <c r="H22" s="17" t="str">
        <f aca="false">IF(A22="","",IFERROR(TEXT(maxifs(Completions!G:G,Completions!A:A,A22),"yyyy-mm-dd hh:mm"),"—"))</f>
        <v/>
      </c>
    </row>
    <row r="23" customFormat="false" ht="21.75" hidden="false" customHeight="true" outlineLevel="0" collapsed="false">
      <c r="A23" s="16" t="str">
        <f aca="false">IFERROR(IF(Members!A20="","",Members!A20),"")</f>
        <v/>
      </c>
      <c r="B23" s="16" t="str">
        <f aca="false">IFERROR(IF(Members!A20="","",Members!B20),"")</f>
        <v/>
      </c>
      <c r="C23" s="16" t="str">
        <f aca="false">IFERROR(IF(Members!A20="","",Members!C20),"")</f>
        <v/>
      </c>
      <c r="D23" s="16" t="str">
        <f aca="false">IFERROR(IF(Members!A20="","",Members!D20),"")</f>
        <v/>
      </c>
      <c r="E23" s="16" t="str">
        <f aca="false">IF(A23="","",COUNTIF(Completions!A:A,A23))</f>
        <v/>
      </c>
      <c r="F23" s="16" t="str">
        <f aca="false">IF(A23="","",SUMPRODUCT((Completions!A$2:A$5000=A23)*IFERROR(VLOOKUP(Completions!B$2:B$5000,$J$4:$K$18,2,FALSE()),0)))</f>
        <v/>
      </c>
      <c r="G23" s="16" t="str">
        <f aca="false">IF(A23="","",IF(F23&gt;=20,"Gold",IF(F23&gt;=14,"Silver",IF(F23&gt;=8,"Bronze","—"))))</f>
        <v/>
      </c>
      <c r="H23" s="16" t="str">
        <f aca="false">IF(A23="","",IFERROR(TEXT(maxifs(Completions!G:G,Completions!A:A,A23),"yyyy-mm-dd hh:mm"),"—"))</f>
        <v/>
      </c>
    </row>
    <row r="24" customFormat="false" ht="21.75" hidden="false" customHeight="true" outlineLevel="0" collapsed="false">
      <c r="A24" s="17" t="str">
        <f aca="false">IFERROR(IF(Members!A21="","",Members!A21),"")</f>
        <v/>
      </c>
      <c r="B24" s="17" t="str">
        <f aca="false">IFERROR(IF(Members!A21="","",Members!B21),"")</f>
        <v/>
      </c>
      <c r="C24" s="17" t="str">
        <f aca="false">IFERROR(IF(Members!A21="","",Members!C21),"")</f>
        <v/>
      </c>
      <c r="D24" s="17" t="str">
        <f aca="false">IFERROR(IF(Members!A21="","",Members!D21),"")</f>
        <v/>
      </c>
      <c r="E24" s="17" t="str">
        <f aca="false">IF(A24="","",COUNTIF(Completions!A:A,A24))</f>
        <v/>
      </c>
      <c r="F24" s="17" t="str">
        <f aca="false">IF(A24="","",SUMPRODUCT((Completions!A$2:A$5000=A24)*IFERROR(VLOOKUP(Completions!B$2:B$5000,$J$4:$K$18,2,FALSE()),0)))</f>
        <v/>
      </c>
      <c r="G24" s="17" t="str">
        <f aca="false">IF(A24="","",IF(F24&gt;=20,"Gold",IF(F24&gt;=14,"Silver",IF(F24&gt;=8,"Bronze","—"))))</f>
        <v/>
      </c>
      <c r="H24" s="17" t="str">
        <f aca="false">IF(A24="","",IFERROR(TEXT(maxifs(Completions!G:G,Completions!A:A,A24),"yyyy-mm-dd hh:mm"),"—"))</f>
        <v/>
      </c>
    </row>
    <row r="25" customFormat="false" ht="21.75" hidden="false" customHeight="true" outlineLevel="0" collapsed="false">
      <c r="A25" s="16" t="str">
        <f aca="false">IFERROR(IF(Members!A22="","",Members!A22),"")</f>
        <v/>
      </c>
      <c r="B25" s="16" t="str">
        <f aca="false">IFERROR(IF(Members!A22="","",Members!B22),"")</f>
        <v/>
      </c>
      <c r="C25" s="16" t="str">
        <f aca="false">IFERROR(IF(Members!A22="","",Members!C22),"")</f>
        <v/>
      </c>
      <c r="D25" s="16" t="str">
        <f aca="false">IFERROR(IF(Members!A22="","",Members!D22),"")</f>
        <v/>
      </c>
      <c r="E25" s="16" t="str">
        <f aca="false">IF(A25="","",COUNTIF(Completions!A:A,A25))</f>
        <v/>
      </c>
      <c r="F25" s="16" t="str">
        <f aca="false">IF(A25="","",SUMPRODUCT((Completions!A$2:A$5000=A25)*IFERROR(VLOOKUP(Completions!B$2:B$5000,$J$4:$K$18,2,FALSE()),0)))</f>
        <v/>
      </c>
      <c r="G25" s="16" t="str">
        <f aca="false">IF(A25="","",IF(F25&gt;=20,"Gold",IF(F25&gt;=14,"Silver",IF(F25&gt;=8,"Bronze","—"))))</f>
        <v/>
      </c>
      <c r="H25" s="16" t="str">
        <f aca="false">IF(A25="","",IFERROR(TEXT(maxifs(Completions!G:G,Completions!A:A,A25),"yyyy-mm-dd hh:mm"),"—"))</f>
        <v/>
      </c>
    </row>
    <row r="26" customFormat="false" ht="21.75" hidden="false" customHeight="true" outlineLevel="0" collapsed="false">
      <c r="A26" s="17" t="str">
        <f aca="false">IFERROR(IF(Members!A23="","",Members!A23),"")</f>
        <v/>
      </c>
      <c r="B26" s="17" t="str">
        <f aca="false">IFERROR(IF(Members!A23="","",Members!B23),"")</f>
        <v/>
      </c>
      <c r="C26" s="17" t="str">
        <f aca="false">IFERROR(IF(Members!A23="","",Members!C23),"")</f>
        <v/>
      </c>
      <c r="D26" s="17" t="str">
        <f aca="false">IFERROR(IF(Members!A23="","",Members!D23),"")</f>
        <v/>
      </c>
      <c r="E26" s="17" t="str">
        <f aca="false">IF(A26="","",COUNTIF(Completions!A:A,A26))</f>
        <v/>
      </c>
      <c r="F26" s="17" t="str">
        <f aca="false">IF(A26="","",SUMPRODUCT((Completions!A$2:A$5000=A26)*IFERROR(VLOOKUP(Completions!B$2:B$5000,$J$4:$K$18,2,FALSE()),0)))</f>
        <v/>
      </c>
      <c r="G26" s="17" t="str">
        <f aca="false">IF(A26="","",IF(F26&gt;=20,"Gold",IF(F26&gt;=14,"Silver",IF(F26&gt;=8,"Bronze","—"))))</f>
        <v/>
      </c>
      <c r="H26" s="17" t="str">
        <f aca="false">IF(A26="","",IFERROR(TEXT(maxifs(Completions!G:G,Completions!A:A,A26),"yyyy-mm-dd hh:mm"),"—"))</f>
        <v/>
      </c>
    </row>
    <row r="27" customFormat="false" ht="21.75" hidden="false" customHeight="true" outlineLevel="0" collapsed="false">
      <c r="A27" s="16" t="str">
        <f aca="false">IFERROR(IF(Members!A24="","",Members!A24),"")</f>
        <v/>
      </c>
      <c r="B27" s="16" t="str">
        <f aca="false">IFERROR(IF(Members!A24="","",Members!B24),"")</f>
        <v/>
      </c>
      <c r="C27" s="16" t="str">
        <f aca="false">IFERROR(IF(Members!A24="","",Members!C24),"")</f>
        <v/>
      </c>
      <c r="D27" s="16" t="str">
        <f aca="false">IFERROR(IF(Members!A24="","",Members!D24),"")</f>
        <v/>
      </c>
      <c r="E27" s="16" t="str">
        <f aca="false">IF(A27="","",COUNTIF(Completions!A:A,A27))</f>
        <v/>
      </c>
      <c r="F27" s="16" t="str">
        <f aca="false">IF(A27="","",SUMPRODUCT((Completions!A$2:A$5000=A27)*IFERROR(VLOOKUP(Completions!B$2:B$5000,$J$4:$K$18,2,FALSE()),0)))</f>
        <v/>
      </c>
      <c r="G27" s="16" t="str">
        <f aca="false">IF(A27="","",IF(F27&gt;=20,"Gold",IF(F27&gt;=14,"Silver",IF(F27&gt;=8,"Bronze","—"))))</f>
        <v/>
      </c>
      <c r="H27" s="16" t="str">
        <f aca="false">IF(A27="","",IFERROR(TEXT(maxifs(Completions!G:G,Completions!A:A,A27),"yyyy-mm-dd hh:mm"),"—"))</f>
        <v/>
      </c>
    </row>
    <row r="28" customFormat="false" ht="21.75" hidden="false" customHeight="true" outlineLevel="0" collapsed="false">
      <c r="A28" s="17" t="str">
        <f aca="false">IFERROR(IF(Members!A25="","",Members!A25),"")</f>
        <v/>
      </c>
      <c r="B28" s="17" t="str">
        <f aca="false">IFERROR(IF(Members!A25="","",Members!B25),"")</f>
        <v/>
      </c>
      <c r="C28" s="17" t="str">
        <f aca="false">IFERROR(IF(Members!A25="","",Members!C25),"")</f>
        <v/>
      </c>
      <c r="D28" s="17" t="str">
        <f aca="false">IFERROR(IF(Members!A25="","",Members!D25),"")</f>
        <v/>
      </c>
      <c r="E28" s="17" t="str">
        <f aca="false">IF(A28="","",COUNTIF(Completions!A:A,A28))</f>
        <v/>
      </c>
      <c r="F28" s="17" t="str">
        <f aca="false">IF(A28="","",SUMPRODUCT((Completions!A$2:A$5000=A28)*IFERROR(VLOOKUP(Completions!B$2:B$5000,$J$4:$K$18,2,FALSE()),0)))</f>
        <v/>
      </c>
      <c r="G28" s="17" t="str">
        <f aca="false">IF(A28="","",IF(F28&gt;=20,"Gold",IF(F28&gt;=14,"Silver",IF(F28&gt;=8,"Bronze","—"))))</f>
        <v/>
      </c>
      <c r="H28" s="17" t="str">
        <f aca="false">IF(A28="","",IFERROR(TEXT(maxifs(Completions!G:G,Completions!A:A,A28),"yyyy-mm-dd hh:mm"),"—"))</f>
        <v/>
      </c>
    </row>
    <row r="29" customFormat="false" ht="21.75" hidden="false" customHeight="true" outlineLevel="0" collapsed="false">
      <c r="A29" s="16" t="str">
        <f aca="false">IFERROR(IF(Members!A26="","",Members!A26),"")</f>
        <v/>
      </c>
      <c r="B29" s="16" t="str">
        <f aca="false">IFERROR(IF(Members!A26="","",Members!B26),"")</f>
        <v/>
      </c>
      <c r="C29" s="16" t="str">
        <f aca="false">IFERROR(IF(Members!A26="","",Members!C26),"")</f>
        <v/>
      </c>
      <c r="D29" s="16" t="str">
        <f aca="false">IFERROR(IF(Members!A26="","",Members!D26),"")</f>
        <v/>
      </c>
      <c r="E29" s="16" t="str">
        <f aca="false">IF(A29="","",COUNTIF(Completions!A:A,A29))</f>
        <v/>
      </c>
      <c r="F29" s="16" t="str">
        <f aca="false">IF(A29="","",SUMPRODUCT((Completions!A$2:A$5000=A29)*IFERROR(VLOOKUP(Completions!B$2:B$5000,$J$4:$K$18,2,FALSE()),0)))</f>
        <v/>
      </c>
      <c r="G29" s="16" t="str">
        <f aca="false">IF(A29="","",IF(F29&gt;=20,"Gold",IF(F29&gt;=14,"Silver",IF(F29&gt;=8,"Bronze","—"))))</f>
        <v/>
      </c>
      <c r="H29" s="16" t="str">
        <f aca="false">IF(A29="","",IFERROR(TEXT(maxifs(Completions!G:G,Completions!A:A,A29),"yyyy-mm-dd hh:mm"),"—"))</f>
        <v/>
      </c>
    </row>
    <row r="30" customFormat="false" ht="21.75" hidden="false" customHeight="true" outlineLevel="0" collapsed="false">
      <c r="A30" s="17" t="str">
        <f aca="false">IFERROR(IF(Members!A27="","",Members!A27),"")</f>
        <v/>
      </c>
      <c r="B30" s="17" t="str">
        <f aca="false">IFERROR(IF(Members!A27="","",Members!B27),"")</f>
        <v/>
      </c>
      <c r="C30" s="17" t="str">
        <f aca="false">IFERROR(IF(Members!A27="","",Members!C27),"")</f>
        <v/>
      </c>
      <c r="D30" s="17" t="str">
        <f aca="false">IFERROR(IF(Members!A27="","",Members!D27),"")</f>
        <v/>
      </c>
      <c r="E30" s="17" t="str">
        <f aca="false">IF(A30="","",COUNTIF(Completions!A:A,A30))</f>
        <v/>
      </c>
      <c r="F30" s="17" t="str">
        <f aca="false">IF(A30="","",SUMPRODUCT((Completions!A$2:A$5000=A30)*IFERROR(VLOOKUP(Completions!B$2:B$5000,$J$4:$K$18,2,FALSE()),0)))</f>
        <v/>
      </c>
      <c r="G30" s="17" t="str">
        <f aca="false">IF(A30="","",IF(F30&gt;=20,"Gold",IF(F30&gt;=14,"Silver",IF(F30&gt;=8,"Bronze","—"))))</f>
        <v/>
      </c>
      <c r="H30" s="17" t="str">
        <f aca="false">IF(A30="","",IFERROR(TEXT(maxifs(Completions!G:G,Completions!A:A,A30),"yyyy-mm-dd hh:mm"),"—"))</f>
        <v/>
      </c>
    </row>
    <row r="31" customFormat="false" ht="21.75" hidden="false" customHeight="true" outlineLevel="0" collapsed="false">
      <c r="A31" s="16" t="str">
        <f aca="false">IFERROR(IF(Members!A28="","",Members!A28),"")</f>
        <v/>
      </c>
      <c r="B31" s="16" t="str">
        <f aca="false">IFERROR(IF(Members!A28="","",Members!B28),"")</f>
        <v/>
      </c>
      <c r="C31" s="16" t="str">
        <f aca="false">IFERROR(IF(Members!A28="","",Members!C28),"")</f>
        <v/>
      </c>
      <c r="D31" s="16" t="str">
        <f aca="false">IFERROR(IF(Members!A28="","",Members!D28),"")</f>
        <v/>
      </c>
      <c r="E31" s="16" t="str">
        <f aca="false">IF(A31="","",COUNTIF(Completions!A:A,A31))</f>
        <v/>
      </c>
      <c r="F31" s="16" t="str">
        <f aca="false">IF(A31="","",SUMPRODUCT((Completions!A$2:A$5000=A31)*IFERROR(VLOOKUP(Completions!B$2:B$5000,$J$4:$K$18,2,FALSE()),0)))</f>
        <v/>
      </c>
      <c r="G31" s="16" t="str">
        <f aca="false">IF(A31="","",IF(F31&gt;=20,"Gold",IF(F31&gt;=14,"Silver",IF(F31&gt;=8,"Bronze","—"))))</f>
        <v/>
      </c>
      <c r="H31" s="16" t="str">
        <f aca="false">IF(A31="","",IFERROR(TEXT(maxifs(Completions!G:G,Completions!A:A,A31),"yyyy-mm-dd hh:mm"),"—"))</f>
        <v/>
      </c>
    </row>
    <row r="32" customFormat="false" ht="21.75" hidden="false" customHeight="true" outlineLevel="0" collapsed="false">
      <c r="A32" s="17" t="str">
        <f aca="false">IFERROR(IF(Members!A29="","",Members!A29),"")</f>
        <v/>
      </c>
      <c r="B32" s="17" t="str">
        <f aca="false">IFERROR(IF(Members!A29="","",Members!B29),"")</f>
        <v/>
      </c>
      <c r="C32" s="17" t="str">
        <f aca="false">IFERROR(IF(Members!A29="","",Members!C29),"")</f>
        <v/>
      </c>
      <c r="D32" s="17" t="str">
        <f aca="false">IFERROR(IF(Members!A29="","",Members!D29),"")</f>
        <v/>
      </c>
      <c r="E32" s="17" t="str">
        <f aca="false">IF(A32="","",COUNTIF(Completions!A:A,A32))</f>
        <v/>
      </c>
      <c r="F32" s="17" t="str">
        <f aca="false">IF(A32="","",SUMPRODUCT((Completions!A$2:A$5000=A32)*IFERROR(VLOOKUP(Completions!B$2:B$5000,$J$4:$K$18,2,FALSE()),0)))</f>
        <v/>
      </c>
      <c r="G32" s="17" t="str">
        <f aca="false">IF(A32="","",IF(F32&gt;=20,"Gold",IF(F32&gt;=14,"Silver",IF(F32&gt;=8,"Bronze","—"))))</f>
        <v/>
      </c>
      <c r="H32" s="17" t="str">
        <f aca="false">IF(A32="","",IFERROR(TEXT(maxifs(Completions!G:G,Completions!A:A,A32),"yyyy-mm-dd hh:mm"),"—"))</f>
        <v/>
      </c>
    </row>
    <row r="33" customFormat="false" ht="21.75" hidden="false" customHeight="true" outlineLevel="0" collapsed="false">
      <c r="A33" s="16" t="str">
        <f aca="false">IFERROR(IF(Members!A30="","",Members!A30),"")</f>
        <v/>
      </c>
      <c r="B33" s="16" t="str">
        <f aca="false">IFERROR(IF(Members!A30="","",Members!B30),"")</f>
        <v/>
      </c>
      <c r="C33" s="16" t="str">
        <f aca="false">IFERROR(IF(Members!A30="","",Members!C30),"")</f>
        <v/>
      </c>
      <c r="D33" s="16" t="str">
        <f aca="false">IFERROR(IF(Members!A30="","",Members!D30),"")</f>
        <v/>
      </c>
      <c r="E33" s="16" t="str">
        <f aca="false">IF(A33="","",COUNTIF(Completions!A:A,A33))</f>
        <v/>
      </c>
      <c r="F33" s="16" t="str">
        <f aca="false">IF(A33="","",SUMPRODUCT((Completions!A$2:A$5000=A33)*IFERROR(VLOOKUP(Completions!B$2:B$5000,$J$4:$K$18,2,FALSE()),0)))</f>
        <v/>
      </c>
      <c r="G33" s="16" t="str">
        <f aca="false">IF(A33="","",IF(F33&gt;=20,"Gold",IF(F33&gt;=14,"Silver",IF(F33&gt;=8,"Bronze","—"))))</f>
        <v/>
      </c>
      <c r="H33" s="16" t="str">
        <f aca="false">IF(A33="","",IFERROR(TEXT(maxifs(Completions!G:G,Completions!A:A,A33),"yyyy-mm-dd hh:mm"),"—"))</f>
        <v/>
      </c>
    </row>
    <row r="34" customFormat="false" ht="21.75" hidden="false" customHeight="true" outlineLevel="0" collapsed="false">
      <c r="A34" s="17" t="str">
        <f aca="false">IFERROR(IF(Members!A31="","",Members!A31),"")</f>
        <v/>
      </c>
      <c r="B34" s="17" t="str">
        <f aca="false">IFERROR(IF(Members!A31="","",Members!B31),"")</f>
        <v/>
      </c>
      <c r="C34" s="17" t="str">
        <f aca="false">IFERROR(IF(Members!A31="","",Members!C31),"")</f>
        <v/>
      </c>
      <c r="D34" s="17" t="str">
        <f aca="false">IFERROR(IF(Members!A31="","",Members!D31),"")</f>
        <v/>
      </c>
      <c r="E34" s="17" t="str">
        <f aca="false">IF(A34="","",COUNTIF(Completions!A:A,A34))</f>
        <v/>
      </c>
      <c r="F34" s="17" t="str">
        <f aca="false">IF(A34="","",SUMPRODUCT((Completions!A$2:A$5000=A34)*IFERROR(VLOOKUP(Completions!B$2:B$5000,$J$4:$K$18,2,FALSE()),0)))</f>
        <v/>
      </c>
      <c r="G34" s="17" t="str">
        <f aca="false">IF(A34="","",IF(F34&gt;=20,"Gold",IF(F34&gt;=14,"Silver",IF(F34&gt;=8,"Bronze","—"))))</f>
        <v/>
      </c>
      <c r="H34" s="17" t="str">
        <f aca="false">IF(A34="","",IFERROR(TEXT(maxifs(Completions!G:G,Completions!A:A,A34),"yyyy-mm-dd hh:mm"),"—"))</f>
        <v/>
      </c>
    </row>
    <row r="35" customFormat="false" ht="21.75" hidden="false" customHeight="true" outlineLevel="0" collapsed="false">
      <c r="A35" s="16" t="str">
        <f aca="false">IFERROR(IF(Members!A32="","",Members!A32),"")</f>
        <v/>
      </c>
      <c r="B35" s="16" t="str">
        <f aca="false">IFERROR(IF(Members!A32="","",Members!B32),"")</f>
        <v/>
      </c>
      <c r="C35" s="16" t="str">
        <f aca="false">IFERROR(IF(Members!A32="","",Members!C32),"")</f>
        <v/>
      </c>
      <c r="D35" s="16" t="str">
        <f aca="false">IFERROR(IF(Members!A32="","",Members!D32),"")</f>
        <v/>
      </c>
      <c r="E35" s="16" t="str">
        <f aca="false">IF(A35="","",COUNTIF(Completions!A:A,A35))</f>
        <v/>
      </c>
      <c r="F35" s="16" t="str">
        <f aca="false">IF(A35="","",SUMPRODUCT((Completions!A$2:A$5000=A35)*IFERROR(VLOOKUP(Completions!B$2:B$5000,$J$4:$K$18,2,FALSE()),0)))</f>
        <v/>
      </c>
      <c r="G35" s="16" t="str">
        <f aca="false">IF(A35="","",IF(F35&gt;=20,"Gold",IF(F35&gt;=14,"Silver",IF(F35&gt;=8,"Bronze","—"))))</f>
        <v/>
      </c>
      <c r="H35" s="16" t="str">
        <f aca="false">IF(A35="","",IFERROR(TEXT(maxifs(Completions!G:G,Completions!A:A,A35),"yyyy-mm-dd hh:mm"),"—"))</f>
        <v/>
      </c>
    </row>
    <row r="36" customFormat="false" ht="21.75" hidden="false" customHeight="true" outlineLevel="0" collapsed="false">
      <c r="A36" s="17" t="str">
        <f aca="false">IFERROR(IF(Members!A33="","",Members!A33),"")</f>
        <v/>
      </c>
      <c r="B36" s="17" t="str">
        <f aca="false">IFERROR(IF(Members!A33="","",Members!B33),"")</f>
        <v/>
      </c>
      <c r="C36" s="17" t="str">
        <f aca="false">IFERROR(IF(Members!A33="","",Members!C33),"")</f>
        <v/>
      </c>
      <c r="D36" s="17" t="str">
        <f aca="false">IFERROR(IF(Members!A33="","",Members!D33),"")</f>
        <v/>
      </c>
      <c r="E36" s="17" t="str">
        <f aca="false">IF(A36="","",COUNTIF(Completions!A:A,A36))</f>
        <v/>
      </c>
      <c r="F36" s="17" t="str">
        <f aca="false">IF(A36="","",SUMPRODUCT((Completions!A$2:A$5000=A36)*IFERROR(VLOOKUP(Completions!B$2:B$5000,$J$4:$K$18,2,FALSE()),0)))</f>
        <v/>
      </c>
      <c r="G36" s="17" t="str">
        <f aca="false">IF(A36="","",IF(F36&gt;=20,"Gold",IF(F36&gt;=14,"Silver",IF(F36&gt;=8,"Bronze","—"))))</f>
        <v/>
      </c>
      <c r="H36" s="17" t="str">
        <f aca="false">IF(A36="","",IFERROR(TEXT(maxifs(Completions!G:G,Completions!A:A,A36),"yyyy-mm-dd hh:mm"),"—"))</f>
        <v/>
      </c>
    </row>
    <row r="37" customFormat="false" ht="21.75" hidden="false" customHeight="true" outlineLevel="0" collapsed="false">
      <c r="A37" s="16" t="str">
        <f aca="false">IFERROR(IF(Members!A34="","",Members!A34),"")</f>
        <v/>
      </c>
      <c r="B37" s="16" t="str">
        <f aca="false">IFERROR(IF(Members!A34="","",Members!B34),"")</f>
        <v/>
      </c>
      <c r="C37" s="16" t="str">
        <f aca="false">IFERROR(IF(Members!A34="","",Members!C34),"")</f>
        <v/>
      </c>
      <c r="D37" s="16" t="str">
        <f aca="false">IFERROR(IF(Members!A34="","",Members!D34),"")</f>
        <v/>
      </c>
      <c r="E37" s="16" t="str">
        <f aca="false">IF(A37="","",COUNTIF(Completions!A:A,A37))</f>
        <v/>
      </c>
      <c r="F37" s="16" t="str">
        <f aca="false">IF(A37="","",SUMPRODUCT((Completions!A$2:A$5000=A37)*IFERROR(VLOOKUP(Completions!B$2:B$5000,$J$4:$K$18,2,FALSE()),0)))</f>
        <v/>
      </c>
      <c r="G37" s="16" t="str">
        <f aca="false">IF(A37="","",IF(F37&gt;=20,"Gold",IF(F37&gt;=14,"Silver",IF(F37&gt;=8,"Bronze","—"))))</f>
        <v/>
      </c>
      <c r="H37" s="16" t="str">
        <f aca="false">IF(A37="","",IFERROR(TEXT(maxifs(Completions!G:G,Completions!A:A,A37),"yyyy-mm-dd hh:mm"),"—"))</f>
        <v/>
      </c>
    </row>
    <row r="38" customFormat="false" ht="21.75" hidden="false" customHeight="true" outlineLevel="0" collapsed="false">
      <c r="A38" s="17" t="str">
        <f aca="false">IFERROR(IF(Members!A35="","",Members!A35),"")</f>
        <v/>
      </c>
      <c r="B38" s="17" t="str">
        <f aca="false">IFERROR(IF(Members!A35="","",Members!B35),"")</f>
        <v/>
      </c>
      <c r="C38" s="17" t="str">
        <f aca="false">IFERROR(IF(Members!A35="","",Members!C35),"")</f>
        <v/>
      </c>
      <c r="D38" s="17" t="str">
        <f aca="false">IFERROR(IF(Members!A35="","",Members!D35),"")</f>
        <v/>
      </c>
      <c r="E38" s="17" t="str">
        <f aca="false">IF(A38="","",COUNTIF(Completions!A:A,A38))</f>
        <v/>
      </c>
      <c r="F38" s="17" t="str">
        <f aca="false">IF(A38="","",SUMPRODUCT((Completions!A$2:A$5000=A38)*IFERROR(VLOOKUP(Completions!B$2:B$5000,$J$4:$K$18,2,FALSE()),0)))</f>
        <v/>
      </c>
      <c r="G38" s="17" t="str">
        <f aca="false">IF(A38="","",IF(F38&gt;=20,"Gold",IF(F38&gt;=14,"Silver",IF(F38&gt;=8,"Bronze","—"))))</f>
        <v/>
      </c>
      <c r="H38" s="17" t="str">
        <f aca="false">IF(A38="","",IFERROR(TEXT(maxifs(Completions!G:G,Completions!A:A,A38),"yyyy-mm-dd hh:mm"),"—"))</f>
        <v/>
      </c>
    </row>
    <row r="39" customFormat="false" ht="21.75" hidden="false" customHeight="true" outlineLevel="0" collapsed="false">
      <c r="A39" s="16" t="str">
        <f aca="false">IFERROR(IF(Members!A36="","",Members!A36),"")</f>
        <v/>
      </c>
      <c r="B39" s="16" t="str">
        <f aca="false">IFERROR(IF(Members!A36="","",Members!B36),"")</f>
        <v/>
      </c>
      <c r="C39" s="16" t="str">
        <f aca="false">IFERROR(IF(Members!A36="","",Members!C36),"")</f>
        <v/>
      </c>
      <c r="D39" s="16" t="str">
        <f aca="false">IFERROR(IF(Members!A36="","",Members!D36),"")</f>
        <v/>
      </c>
      <c r="E39" s="16" t="str">
        <f aca="false">IF(A39="","",COUNTIF(Completions!A:A,A39))</f>
        <v/>
      </c>
      <c r="F39" s="16" t="str">
        <f aca="false">IF(A39="","",SUMPRODUCT((Completions!A$2:A$5000=A39)*IFERROR(VLOOKUP(Completions!B$2:B$5000,$J$4:$K$18,2,FALSE()),0)))</f>
        <v/>
      </c>
      <c r="G39" s="16" t="str">
        <f aca="false">IF(A39="","",IF(F39&gt;=20,"Gold",IF(F39&gt;=14,"Silver",IF(F39&gt;=8,"Bronze","—"))))</f>
        <v/>
      </c>
      <c r="H39" s="16" t="str">
        <f aca="false">IF(A39="","",IFERROR(TEXT(maxifs(Completions!G:G,Completions!A:A,A39),"yyyy-mm-dd hh:mm"),"—"))</f>
        <v/>
      </c>
    </row>
    <row r="40" customFormat="false" ht="21.75" hidden="false" customHeight="true" outlineLevel="0" collapsed="false">
      <c r="A40" s="17" t="str">
        <f aca="false">IFERROR(IF(Members!A37="","",Members!A37),"")</f>
        <v/>
      </c>
      <c r="B40" s="17" t="str">
        <f aca="false">IFERROR(IF(Members!A37="","",Members!B37),"")</f>
        <v/>
      </c>
      <c r="C40" s="17" t="str">
        <f aca="false">IFERROR(IF(Members!A37="","",Members!C37),"")</f>
        <v/>
      </c>
      <c r="D40" s="17" t="str">
        <f aca="false">IFERROR(IF(Members!A37="","",Members!D37),"")</f>
        <v/>
      </c>
      <c r="E40" s="17" t="str">
        <f aca="false">IF(A40="","",COUNTIF(Completions!A:A,A40))</f>
        <v/>
      </c>
      <c r="F40" s="17" t="str">
        <f aca="false">IF(A40="","",SUMPRODUCT((Completions!A$2:A$5000=A40)*IFERROR(VLOOKUP(Completions!B$2:B$5000,$J$4:$K$18,2,FALSE()),0)))</f>
        <v/>
      </c>
      <c r="G40" s="17" t="str">
        <f aca="false">IF(A40="","",IF(F40&gt;=20,"Gold",IF(F40&gt;=14,"Silver",IF(F40&gt;=8,"Bronze","—"))))</f>
        <v/>
      </c>
      <c r="H40" s="17" t="str">
        <f aca="false">IF(A40="","",IFERROR(TEXT(maxifs(Completions!G:G,Completions!A:A,A40),"yyyy-mm-dd hh:mm"),"—"))</f>
        <v/>
      </c>
    </row>
    <row r="41" customFormat="false" ht="21.75" hidden="false" customHeight="true" outlineLevel="0" collapsed="false">
      <c r="A41" s="16" t="str">
        <f aca="false">IFERROR(IF(Members!A38="","",Members!A38),"")</f>
        <v/>
      </c>
      <c r="B41" s="16" t="str">
        <f aca="false">IFERROR(IF(Members!A38="","",Members!B38),"")</f>
        <v/>
      </c>
      <c r="C41" s="16" t="str">
        <f aca="false">IFERROR(IF(Members!A38="","",Members!C38),"")</f>
        <v/>
      </c>
      <c r="D41" s="16" t="str">
        <f aca="false">IFERROR(IF(Members!A38="","",Members!D38),"")</f>
        <v/>
      </c>
      <c r="E41" s="16" t="str">
        <f aca="false">IF(A41="","",COUNTIF(Completions!A:A,A41))</f>
        <v/>
      </c>
      <c r="F41" s="16" t="str">
        <f aca="false">IF(A41="","",SUMPRODUCT((Completions!A$2:A$5000=A41)*IFERROR(VLOOKUP(Completions!B$2:B$5000,$J$4:$K$18,2,FALSE()),0)))</f>
        <v/>
      </c>
      <c r="G41" s="16" t="str">
        <f aca="false">IF(A41="","",IF(F41&gt;=20,"Gold",IF(F41&gt;=14,"Silver",IF(F41&gt;=8,"Bronze","—"))))</f>
        <v/>
      </c>
      <c r="H41" s="16" t="str">
        <f aca="false">IF(A41="","",IFERROR(TEXT(maxifs(Completions!G:G,Completions!A:A,A41),"yyyy-mm-dd hh:mm"),"—"))</f>
        <v/>
      </c>
    </row>
    <row r="42" customFormat="false" ht="21.75" hidden="false" customHeight="true" outlineLevel="0" collapsed="false">
      <c r="A42" s="17" t="str">
        <f aca="false">IFERROR(IF(Members!A39="","",Members!A39),"")</f>
        <v/>
      </c>
      <c r="B42" s="17" t="str">
        <f aca="false">IFERROR(IF(Members!A39="","",Members!B39),"")</f>
        <v/>
      </c>
      <c r="C42" s="17" t="str">
        <f aca="false">IFERROR(IF(Members!A39="","",Members!C39),"")</f>
        <v/>
      </c>
      <c r="D42" s="17" t="str">
        <f aca="false">IFERROR(IF(Members!A39="","",Members!D39),"")</f>
        <v/>
      </c>
      <c r="E42" s="17" t="str">
        <f aca="false">IF(A42="","",COUNTIF(Completions!A:A,A42))</f>
        <v/>
      </c>
      <c r="F42" s="17" t="str">
        <f aca="false">IF(A42="","",SUMPRODUCT((Completions!A$2:A$5000=A42)*IFERROR(VLOOKUP(Completions!B$2:B$5000,$J$4:$K$18,2,FALSE()),0)))</f>
        <v/>
      </c>
      <c r="G42" s="17" t="str">
        <f aca="false">IF(A42="","",IF(F42&gt;=20,"Gold",IF(F42&gt;=14,"Silver",IF(F42&gt;=8,"Bronze","—"))))</f>
        <v/>
      </c>
      <c r="H42" s="17" t="str">
        <f aca="false">IF(A42="","",IFERROR(TEXT(maxifs(Completions!G:G,Completions!A:A,A42),"yyyy-mm-dd hh:mm"),"—"))</f>
        <v/>
      </c>
    </row>
    <row r="43" customFormat="false" ht="21.75" hidden="false" customHeight="true" outlineLevel="0" collapsed="false">
      <c r="A43" s="16" t="str">
        <f aca="false">IFERROR(IF(Members!A40="","",Members!A40),"")</f>
        <v/>
      </c>
      <c r="B43" s="16" t="str">
        <f aca="false">IFERROR(IF(Members!A40="","",Members!B40),"")</f>
        <v/>
      </c>
      <c r="C43" s="16" t="str">
        <f aca="false">IFERROR(IF(Members!A40="","",Members!C40),"")</f>
        <v/>
      </c>
      <c r="D43" s="16" t="str">
        <f aca="false">IFERROR(IF(Members!A40="","",Members!D40),"")</f>
        <v/>
      </c>
      <c r="E43" s="16" t="str">
        <f aca="false">IF(A43="","",COUNTIF(Completions!A:A,A43))</f>
        <v/>
      </c>
      <c r="F43" s="16" t="str">
        <f aca="false">IF(A43="","",SUMPRODUCT((Completions!A$2:A$5000=A43)*IFERROR(VLOOKUP(Completions!B$2:B$5000,$J$4:$K$18,2,FALSE()),0)))</f>
        <v/>
      </c>
      <c r="G43" s="16" t="str">
        <f aca="false">IF(A43="","",IF(F43&gt;=20,"Gold",IF(F43&gt;=14,"Silver",IF(F43&gt;=8,"Bronze","—"))))</f>
        <v/>
      </c>
      <c r="H43" s="16" t="str">
        <f aca="false">IF(A43="","",IFERROR(TEXT(maxifs(Completions!G:G,Completions!A:A,A43),"yyyy-mm-dd hh:mm"),"—"))</f>
        <v/>
      </c>
    </row>
    <row r="44" customFormat="false" ht="21.75" hidden="false" customHeight="true" outlineLevel="0" collapsed="false">
      <c r="A44" s="17" t="str">
        <f aca="false">IFERROR(IF(Members!A41="","",Members!A41),"")</f>
        <v/>
      </c>
      <c r="B44" s="17" t="str">
        <f aca="false">IFERROR(IF(Members!A41="","",Members!B41),"")</f>
        <v/>
      </c>
      <c r="C44" s="17" t="str">
        <f aca="false">IFERROR(IF(Members!A41="","",Members!C41),"")</f>
        <v/>
      </c>
      <c r="D44" s="17" t="str">
        <f aca="false">IFERROR(IF(Members!A41="","",Members!D41),"")</f>
        <v/>
      </c>
      <c r="E44" s="17" t="str">
        <f aca="false">IF(A44="","",COUNTIF(Completions!A:A,A44))</f>
        <v/>
      </c>
      <c r="F44" s="17" t="str">
        <f aca="false">IF(A44="","",SUMPRODUCT((Completions!A$2:A$5000=A44)*IFERROR(VLOOKUP(Completions!B$2:B$5000,$J$4:$K$18,2,FALSE()),0)))</f>
        <v/>
      </c>
      <c r="G44" s="17" t="str">
        <f aca="false">IF(A44="","",IF(F44&gt;=20,"Gold",IF(F44&gt;=14,"Silver",IF(F44&gt;=8,"Bronze","—"))))</f>
        <v/>
      </c>
      <c r="H44" s="17" t="str">
        <f aca="false">IF(A44="","",IFERROR(TEXT(maxifs(Completions!G:G,Completions!A:A,A44),"yyyy-mm-dd hh:mm"),"—"))</f>
        <v/>
      </c>
    </row>
    <row r="45" customFormat="false" ht="21.75" hidden="false" customHeight="true" outlineLevel="0" collapsed="false">
      <c r="A45" s="16" t="str">
        <f aca="false">IFERROR(IF(Members!A42="","",Members!A42),"")</f>
        <v/>
      </c>
      <c r="B45" s="16" t="str">
        <f aca="false">IFERROR(IF(Members!A42="","",Members!B42),"")</f>
        <v/>
      </c>
      <c r="C45" s="16" t="str">
        <f aca="false">IFERROR(IF(Members!A42="","",Members!C42),"")</f>
        <v/>
      </c>
      <c r="D45" s="16" t="str">
        <f aca="false">IFERROR(IF(Members!A42="","",Members!D42),"")</f>
        <v/>
      </c>
      <c r="E45" s="16" t="str">
        <f aca="false">IF(A45="","",COUNTIF(Completions!A:A,A45))</f>
        <v/>
      </c>
      <c r="F45" s="16" t="str">
        <f aca="false">IF(A45="","",SUMPRODUCT((Completions!A$2:A$5000=A45)*IFERROR(VLOOKUP(Completions!B$2:B$5000,$J$4:$K$18,2,FALSE()),0)))</f>
        <v/>
      </c>
      <c r="G45" s="16" t="str">
        <f aca="false">IF(A45="","",IF(F45&gt;=20,"Gold",IF(F45&gt;=14,"Silver",IF(F45&gt;=8,"Bronze","—"))))</f>
        <v/>
      </c>
      <c r="H45" s="16" t="str">
        <f aca="false">IF(A45="","",IFERROR(TEXT(maxifs(Completions!G:G,Completions!A:A,A45),"yyyy-mm-dd hh:mm"),"—"))</f>
        <v/>
      </c>
    </row>
    <row r="46" customFormat="false" ht="21.75" hidden="false" customHeight="true" outlineLevel="0" collapsed="false">
      <c r="A46" s="17" t="str">
        <f aca="false">IFERROR(IF(Members!A43="","",Members!A43),"")</f>
        <v/>
      </c>
      <c r="B46" s="17" t="str">
        <f aca="false">IFERROR(IF(Members!A43="","",Members!B43),"")</f>
        <v/>
      </c>
      <c r="C46" s="17" t="str">
        <f aca="false">IFERROR(IF(Members!A43="","",Members!C43),"")</f>
        <v/>
      </c>
      <c r="D46" s="17" t="str">
        <f aca="false">IFERROR(IF(Members!A43="","",Members!D43),"")</f>
        <v/>
      </c>
      <c r="E46" s="17" t="str">
        <f aca="false">IF(A46="","",COUNTIF(Completions!A:A,A46))</f>
        <v/>
      </c>
      <c r="F46" s="17" t="str">
        <f aca="false">IF(A46="","",SUMPRODUCT((Completions!A$2:A$5000=A46)*IFERROR(VLOOKUP(Completions!B$2:B$5000,$J$4:$K$18,2,FALSE()),0)))</f>
        <v/>
      </c>
      <c r="G46" s="17" t="str">
        <f aca="false">IF(A46="","",IF(F46&gt;=20,"Gold",IF(F46&gt;=14,"Silver",IF(F46&gt;=8,"Bronze","—"))))</f>
        <v/>
      </c>
      <c r="H46" s="17" t="str">
        <f aca="false">IF(A46="","",IFERROR(TEXT(maxifs(Completions!G:G,Completions!A:A,A46),"yyyy-mm-dd hh:mm"),"—"))</f>
        <v/>
      </c>
    </row>
    <row r="47" customFormat="false" ht="21.75" hidden="false" customHeight="true" outlineLevel="0" collapsed="false">
      <c r="A47" s="16" t="str">
        <f aca="false">IFERROR(IF(Members!A44="","",Members!A44),"")</f>
        <v/>
      </c>
      <c r="B47" s="16" t="str">
        <f aca="false">IFERROR(IF(Members!A44="","",Members!B44),"")</f>
        <v/>
      </c>
      <c r="C47" s="16" t="str">
        <f aca="false">IFERROR(IF(Members!A44="","",Members!C44),"")</f>
        <v/>
      </c>
      <c r="D47" s="16" t="str">
        <f aca="false">IFERROR(IF(Members!A44="","",Members!D44),"")</f>
        <v/>
      </c>
      <c r="E47" s="16" t="str">
        <f aca="false">IF(A47="","",COUNTIF(Completions!A:A,A47))</f>
        <v/>
      </c>
      <c r="F47" s="16" t="str">
        <f aca="false">IF(A47="","",SUMPRODUCT((Completions!A$2:A$5000=A47)*IFERROR(VLOOKUP(Completions!B$2:B$5000,$J$4:$K$18,2,FALSE()),0)))</f>
        <v/>
      </c>
      <c r="G47" s="16" t="str">
        <f aca="false">IF(A47="","",IF(F47&gt;=20,"Gold",IF(F47&gt;=14,"Silver",IF(F47&gt;=8,"Bronze","—"))))</f>
        <v/>
      </c>
      <c r="H47" s="16" t="str">
        <f aca="false">IF(A47="","",IFERROR(TEXT(maxifs(Completions!G:G,Completions!A:A,A47),"yyyy-mm-dd hh:mm"),"—"))</f>
        <v/>
      </c>
    </row>
    <row r="48" customFormat="false" ht="21.75" hidden="false" customHeight="true" outlineLevel="0" collapsed="false">
      <c r="A48" s="17" t="str">
        <f aca="false">IFERROR(IF(Members!A45="","",Members!A45),"")</f>
        <v/>
      </c>
      <c r="B48" s="17" t="str">
        <f aca="false">IFERROR(IF(Members!A45="","",Members!B45),"")</f>
        <v/>
      </c>
      <c r="C48" s="17" t="str">
        <f aca="false">IFERROR(IF(Members!A45="","",Members!C45),"")</f>
        <v/>
      </c>
      <c r="D48" s="17" t="str">
        <f aca="false">IFERROR(IF(Members!A45="","",Members!D45),"")</f>
        <v/>
      </c>
      <c r="E48" s="17" t="str">
        <f aca="false">IF(A48="","",COUNTIF(Completions!A:A,A48))</f>
        <v/>
      </c>
      <c r="F48" s="17" t="str">
        <f aca="false">IF(A48="","",SUMPRODUCT((Completions!A$2:A$5000=A48)*IFERROR(VLOOKUP(Completions!B$2:B$5000,$J$4:$K$18,2,FALSE()),0)))</f>
        <v/>
      </c>
      <c r="G48" s="17" t="str">
        <f aca="false">IF(A48="","",IF(F48&gt;=20,"Gold",IF(F48&gt;=14,"Silver",IF(F48&gt;=8,"Bronze","—"))))</f>
        <v/>
      </c>
      <c r="H48" s="17" t="str">
        <f aca="false">IF(A48="","",IFERROR(TEXT(maxifs(Completions!G:G,Completions!A:A,A48),"yyyy-mm-dd hh:mm"),"—"))</f>
        <v/>
      </c>
    </row>
    <row r="49" customFormat="false" ht="21.75" hidden="false" customHeight="true" outlineLevel="0" collapsed="false">
      <c r="A49" s="16" t="str">
        <f aca="false">IFERROR(IF(Members!A46="","",Members!A46),"")</f>
        <v/>
      </c>
      <c r="B49" s="16" t="str">
        <f aca="false">IFERROR(IF(Members!A46="","",Members!B46),"")</f>
        <v/>
      </c>
      <c r="C49" s="16" t="str">
        <f aca="false">IFERROR(IF(Members!A46="","",Members!C46),"")</f>
        <v/>
      </c>
      <c r="D49" s="16" t="str">
        <f aca="false">IFERROR(IF(Members!A46="","",Members!D46),"")</f>
        <v/>
      </c>
      <c r="E49" s="16" t="str">
        <f aca="false">IF(A49="","",COUNTIF(Completions!A:A,A49))</f>
        <v/>
      </c>
      <c r="F49" s="16" t="str">
        <f aca="false">IF(A49="","",SUMPRODUCT((Completions!A$2:A$5000=A49)*IFERROR(VLOOKUP(Completions!B$2:B$5000,$J$4:$K$18,2,FALSE()),0)))</f>
        <v/>
      </c>
      <c r="G49" s="16" t="str">
        <f aca="false">IF(A49="","",IF(F49&gt;=20,"Gold",IF(F49&gt;=14,"Silver",IF(F49&gt;=8,"Bronze","—"))))</f>
        <v/>
      </c>
      <c r="H49" s="16" t="str">
        <f aca="false">IF(A49="","",IFERROR(TEXT(maxifs(Completions!G:G,Completions!A:A,A49),"yyyy-mm-dd hh:mm"),"—"))</f>
        <v/>
      </c>
    </row>
    <row r="50" customFormat="false" ht="21.75" hidden="false" customHeight="true" outlineLevel="0" collapsed="false">
      <c r="A50" s="17" t="str">
        <f aca="false">IFERROR(IF(Members!A47="","",Members!A47),"")</f>
        <v/>
      </c>
      <c r="B50" s="17" t="str">
        <f aca="false">IFERROR(IF(Members!A47="","",Members!B47),"")</f>
        <v/>
      </c>
      <c r="C50" s="17" t="str">
        <f aca="false">IFERROR(IF(Members!A47="","",Members!C47),"")</f>
        <v/>
      </c>
      <c r="D50" s="17" t="str">
        <f aca="false">IFERROR(IF(Members!A47="","",Members!D47),"")</f>
        <v/>
      </c>
      <c r="E50" s="17" t="str">
        <f aca="false">IF(A50="","",COUNTIF(Completions!A:A,A50))</f>
        <v/>
      </c>
      <c r="F50" s="17" t="str">
        <f aca="false">IF(A50="","",SUMPRODUCT((Completions!A$2:A$5000=A50)*IFERROR(VLOOKUP(Completions!B$2:B$5000,$J$4:$K$18,2,FALSE()),0)))</f>
        <v/>
      </c>
      <c r="G50" s="17" t="str">
        <f aca="false">IF(A50="","",IF(F50&gt;=20,"Gold",IF(F50&gt;=14,"Silver",IF(F50&gt;=8,"Bronze","—"))))</f>
        <v/>
      </c>
      <c r="H50" s="17" t="str">
        <f aca="false">IF(A50="","",IFERROR(TEXT(maxifs(Completions!G:G,Completions!A:A,A50),"yyyy-mm-dd hh:mm"),"—"))</f>
        <v/>
      </c>
    </row>
    <row r="51" customFormat="false" ht="21.75" hidden="false" customHeight="true" outlineLevel="0" collapsed="false">
      <c r="A51" s="16" t="str">
        <f aca="false">IFERROR(IF(Members!A48="","",Members!A48),"")</f>
        <v/>
      </c>
      <c r="B51" s="16" t="str">
        <f aca="false">IFERROR(IF(Members!A48="","",Members!B48),"")</f>
        <v/>
      </c>
      <c r="C51" s="16" t="str">
        <f aca="false">IFERROR(IF(Members!A48="","",Members!C48),"")</f>
        <v/>
      </c>
      <c r="D51" s="16" t="str">
        <f aca="false">IFERROR(IF(Members!A48="","",Members!D48),"")</f>
        <v/>
      </c>
      <c r="E51" s="16" t="str">
        <f aca="false">IF(A51="","",COUNTIF(Completions!A:A,A51))</f>
        <v/>
      </c>
      <c r="F51" s="16" t="str">
        <f aca="false">IF(A51="","",SUMPRODUCT((Completions!A$2:A$5000=A51)*IFERROR(VLOOKUP(Completions!B$2:B$5000,$J$4:$K$18,2,FALSE()),0)))</f>
        <v/>
      </c>
      <c r="G51" s="16" t="str">
        <f aca="false">IF(A51="","",IF(F51&gt;=20,"Gold",IF(F51&gt;=14,"Silver",IF(F51&gt;=8,"Bronze","—"))))</f>
        <v/>
      </c>
      <c r="H51" s="16" t="str">
        <f aca="false">IF(A51="","",IFERROR(TEXT(maxifs(Completions!G:G,Completions!A:A,A51),"yyyy-mm-dd hh:mm"),"—"))</f>
        <v/>
      </c>
    </row>
    <row r="52" customFormat="false" ht="21.75" hidden="false" customHeight="true" outlineLevel="0" collapsed="false">
      <c r="A52" s="17" t="str">
        <f aca="false">IFERROR(IF(Members!A49="","",Members!A49),"")</f>
        <v/>
      </c>
      <c r="B52" s="17" t="str">
        <f aca="false">IFERROR(IF(Members!A49="","",Members!B49),"")</f>
        <v/>
      </c>
      <c r="C52" s="17" t="str">
        <f aca="false">IFERROR(IF(Members!A49="","",Members!C49),"")</f>
        <v/>
      </c>
      <c r="D52" s="17" t="str">
        <f aca="false">IFERROR(IF(Members!A49="","",Members!D49),"")</f>
        <v/>
      </c>
      <c r="E52" s="17" t="str">
        <f aca="false">IF(A52="","",COUNTIF(Completions!A:A,A52))</f>
        <v/>
      </c>
      <c r="F52" s="17" t="str">
        <f aca="false">IF(A52="","",SUMPRODUCT((Completions!A$2:A$5000=A52)*IFERROR(VLOOKUP(Completions!B$2:B$5000,$J$4:$K$18,2,FALSE()),0)))</f>
        <v/>
      </c>
      <c r="G52" s="17" t="str">
        <f aca="false">IF(A52="","",IF(F52&gt;=20,"Gold",IF(F52&gt;=14,"Silver",IF(F52&gt;=8,"Bronze","—"))))</f>
        <v/>
      </c>
      <c r="H52" s="17" t="str">
        <f aca="false">IF(A52="","",IFERROR(TEXT(maxifs(Completions!G:G,Completions!A:A,A52),"yyyy-mm-dd hh:mm"),"—"))</f>
        <v/>
      </c>
    </row>
    <row r="53" customFormat="false" ht="21.75" hidden="false" customHeight="true" outlineLevel="0" collapsed="false">
      <c r="A53" s="16" t="str">
        <f aca="false">IFERROR(IF(Members!A50="","",Members!A50),"")</f>
        <v/>
      </c>
      <c r="B53" s="16" t="str">
        <f aca="false">IFERROR(IF(Members!A50="","",Members!B50),"")</f>
        <v/>
      </c>
      <c r="C53" s="16" t="str">
        <f aca="false">IFERROR(IF(Members!A50="","",Members!C50),"")</f>
        <v/>
      </c>
      <c r="D53" s="16" t="str">
        <f aca="false">IFERROR(IF(Members!A50="","",Members!D50),"")</f>
        <v/>
      </c>
      <c r="E53" s="16" t="str">
        <f aca="false">IF(A53="","",COUNTIF(Completions!A:A,A53))</f>
        <v/>
      </c>
      <c r="F53" s="16" t="str">
        <f aca="false">IF(A53="","",SUMPRODUCT((Completions!A$2:A$5000=A53)*IFERROR(VLOOKUP(Completions!B$2:B$5000,$J$4:$K$18,2,FALSE()),0)))</f>
        <v/>
      </c>
      <c r="G53" s="16" t="str">
        <f aca="false">IF(A53="","",IF(F53&gt;=20,"Gold",IF(F53&gt;=14,"Silver",IF(F53&gt;=8,"Bronze","—"))))</f>
        <v/>
      </c>
      <c r="H53" s="16" t="str">
        <f aca="false">IF(A53="","",IFERROR(TEXT(maxifs(Completions!G:G,Completions!A:A,A53),"yyyy-mm-dd hh:mm"),"—"))</f>
        <v/>
      </c>
    </row>
    <row r="54" customFormat="false" ht="21.75" hidden="false" customHeight="true" outlineLevel="0" collapsed="false">
      <c r="A54" s="17" t="str">
        <f aca="false">IFERROR(IF(Members!A51="","",Members!A51),"")</f>
        <v/>
      </c>
      <c r="B54" s="17" t="str">
        <f aca="false">IFERROR(IF(Members!A51="","",Members!B51),"")</f>
        <v/>
      </c>
      <c r="C54" s="17" t="str">
        <f aca="false">IFERROR(IF(Members!A51="","",Members!C51),"")</f>
        <v/>
      </c>
      <c r="D54" s="17" t="str">
        <f aca="false">IFERROR(IF(Members!A51="","",Members!D51),"")</f>
        <v/>
      </c>
      <c r="E54" s="17" t="str">
        <f aca="false">IF(A54="","",COUNTIF(Completions!A:A,A54))</f>
        <v/>
      </c>
      <c r="F54" s="17" t="str">
        <f aca="false">IF(A54="","",SUMPRODUCT((Completions!A$2:A$5000=A54)*IFERROR(VLOOKUP(Completions!B$2:B$5000,$J$4:$K$18,2,FALSE()),0)))</f>
        <v/>
      </c>
      <c r="G54" s="17" t="str">
        <f aca="false">IF(A54="","",IF(F54&gt;=20,"Gold",IF(F54&gt;=14,"Silver",IF(F54&gt;=8,"Bronze","—"))))</f>
        <v/>
      </c>
      <c r="H54" s="17" t="str">
        <f aca="false">IF(A54="","",IFERROR(TEXT(maxifs(Completions!G:G,Completions!A:A,A54),"yyyy-mm-dd hh:mm"),"—"))</f>
        <v/>
      </c>
    </row>
    <row r="55" customFormat="false" ht="21.75" hidden="false" customHeight="true" outlineLevel="0" collapsed="false">
      <c r="A55" s="16" t="str">
        <f aca="false">IFERROR(IF(Members!A52="","",Members!A52),"")</f>
        <v/>
      </c>
      <c r="B55" s="16" t="str">
        <f aca="false">IFERROR(IF(Members!A52="","",Members!B52),"")</f>
        <v/>
      </c>
      <c r="C55" s="16" t="str">
        <f aca="false">IFERROR(IF(Members!A52="","",Members!C52),"")</f>
        <v/>
      </c>
      <c r="D55" s="16" t="str">
        <f aca="false">IFERROR(IF(Members!A52="","",Members!D52),"")</f>
        <v/>
      </c>
      <c r="E55" s="16" t="str">
        <f aca="false">IF(A55="","",COUNTIF(Completions!A:A,A55))</f>
        <v/>
      </c>
      <c r="F55" s="16" t="str">
        <f aca="false">IF(A55="","",SUMPRODUCT((Completions!A$2:A$5000=A55)*IFERROR(VLOOKUP(Completions!B$2:B$5000,$J$4:$K$18,2,FALSE()),0)))</f>
        <v/>
      </c>
      <c r="G55" s="16" t="str">
        <f aca="false">IF(A55="","",IF(F55&gt;=20,"Gold",IF(F55&gt;=14,"Silver",IF(F55&gt;=8,"Bronze","—"))))</f>
        <v/>
      </c>
      <c r="H55" s="16" t="str">
        <f aca="false">IF(A55="","",IFERROR(TEXT(maxifs(Completions!G:G,Completions!A:A,A55),"yyyy-mm-dd hh:mm"),"—"))</f>
        <v/>
      </c>
    </row>
    <row r="56" customFormat="false" ht="21.75" hidden="false" customHeight="true" outlineLevel="0" collapsed="false">
      <c r="A56" s="17" t="str">
        <f aca="false">IFERROR(IF(Members!A53="","",Members!A53),"")</f>
        <v/>
      </c>
      <c r="B56" s="17" t="str">
        <f aca="false">IFERROR(IF(Members!A53="","",Members!B53),"")</f>
        <v/>
      </c>
      <c r="C56" s="17" t="str">
        <f aca="false">IFERROR(IF(Members!A53="","",Members!C53),"")</f>
        <v/>
      </c>
      <c r="D56" s="17" t="str">
        <f aca="false">IFERROR(IF(Members!A53="","",Members!D53),"")</f>
        <v/>
      </c>
      <c r="E56" s="17" t="str">
        <f aca="false">IF(A56="","",COUNTIF(Completions!A:A,A56))</f>
        <v/>
      </c>
      <c r="F56" s="17" t="str">
        <f aca="false">IF(A56="","",SUMPRODUCT((Completions!A$2:A$5000=A56)*IFERROR(VLOOKUP(Completions!B$2:B$5000,$J$4:$K$18,2,FALSE()),0)))</f>
        <v/>
      </c>
      <c r="G56" s="17" t="str">
        <f aca="false">IF(A56="","",IF(F56&gt;=20,"Gold",IF(F56&gt;=14,"Silver",IF(F56&gt;=8,"Bronze","—"))))</f>
        <v/>
      </c>
      <c r="H56" s="17" t="str">
        <f aca="false">IF(A56="","",IFERROR(TEXT(maxifs(Completions!G:G,Completions!A:A,A56),"yyyy-mm-dd hh:mm"),"—"))</f>
        <v/>
      </c>
    </row>
    <row r="57" customFormat="false" ht="21.75" hidden="false" customHeight="true" outlineLevel="0" collapsed="false">
      <c r="A57" s="16" t="str">
        <f aca="false">IFERROR(IF(Members!A54="","",Members!A54),"")</f>
        <v/>
      </c>
      <c r="B57" s="16" t="str">
        <f aca="false">IFERROR(IF(Members!A54="","",Members!B54),"")</f>
        <v/>
      </c>
      <c r="C57" s="16" t="str">
        <f aca="false">IFERROR(IF(Members!A54="","",Members!C54),"")</f>
        <v/>
      </c>
      <c r="D57" s="16" t="str">
        <f aca="false">IFERROR(IF(Members!A54="","",Members!D54),"")</f>
        <v/>
      </c>
      <c r="E57" s="16" t="str">
        <f aca="false">IF(A57="","",COUNTIF(Completions!A:A,A57))</f>
        <v/>
      </c>
      <c r="F57" s="16" t="str">
        <f aca="false">IF(A57="","",SUMPRODUCT((Completions!A$2:A$5000=A57)*IFERROR(VLOOKUP(Completions!B$2:B$5000,$J$4:$K$18,2,FALSE()),0)))</f>
        <v/>
      </c>
      <c r="G57" s="16" t="str">
        <f aca="false">IF(A57="","",IF(F57&gt;=20,"Gold",IF(F57&gt;=14,"Silver",IF(F57&gt;=8,"Bronze","—"))))</f>
        <v/>
      </c>
      <c r="H57" s="16" t="str">
        <f aca="false">IF(A57="","",IFERROR(TEXT(maxifs(Completions!G:G,Completions!A:A,A57),"yyyy-mm-dd hh:mm"),"—"))</f>
        <v/>
      </c>
    </row>
    <row r="58" customFormat="false" ht="21.75" hidden="false" customHeight="true" outlineLevel="0" collapsed="false">
      <c r="A58" s="17" t="str">
        <f aca="false">IFERROR(IF(Members!A55="","",Members!A55),"")</f>
        <v/>
      </c>
      <c r="B58" s="17" t="str">
        <f aca="false">IFERROR(IF(Members!A55="","",Members!B55),"")</f>
        <v/>
      </c>
      <c r="C58" s="17" t="str">
        <f aca="false">IFERROR(IF(Members!A55="","",Members!C55),"")</f>
        <v/>
      </c>
      <c r="D58" s="17" t="str">
        <f aca="false">IFERROR(IF(Members!A55="","",Members!D55),"")</f>
        <v/>
      </c>
      <c r="E58" s="17" t="str">
        <f aca="false">IF(A58="","",COUNTIF(Completions!A:A,A58))</f>
        <v/>
      </c>
      <c r="F58" s="17" t="str">
        <f aca="false">IF(A58="","",SUMPRODUCT((Completions!A$2:A$5000=A58)*IFERROR(VLOOKUP(Completions!B$2:B$5000,$J$4:$K$18,2,FALSE()),0)))</f>
        <v/>
      </c>
      <c r="G58" s="17" t="str">
        <f aca="false">IF(A58="","",IF(F58&gt;=20,"Gold",IF(F58&gt;=14,"Silver",IF(F58&gt;=8,"Bronze","—"))))</f>
        <v/>
      </c>
      <c r="H58" s="17" t="str">
        <f aca="false">IF(A58="","",IFERROR(TEXT(maxifs(Completions!G:G,Completions!A:A,A58),"yyyy-mm-dd hh:mm"),"—"))</f>
        <v/>
      </c>
    </row>
    <row r="59" customFormat="false" ht="21.75" hidden="false" customHeight="true" outlineLevel="0" collapsed="false">
      <c r="A59" s="16" t="str">
        <f aca="false">IFERROR(IF(Members!A56="","",Members!A56),"")</f>
        <v/>
      </c>
      <c r="B59" s="16" t="str">
        <f aca="false">IFERROR(IF(Members!A56="","",Members!B56),"")</f>
        <v/>
      </c>
      <c r="C59" s="16" t="str">
        <f aca="false">IFERROR(IF(Members!A56="","",Members!C56),"")</f>
        <v/>
      </c>
      <c r="D59" s="16" t="str">
        <f aca="false">IFERROR(IF(Members!A56="","",Members!D56),"")</f>
        <v/>
      </c>
      <c r="E59" s="16" t="str">
        <f aca="false">IF(A59="","",COUNTIF(Completions!A:A,A59))</f>
        <v/>
      </c>
      <c r="F59" s="16" t="str">
        <f aca="false">IF(A59="","",SUMPRODUCT((Completions!A$2:A$5000=A59)*IFERROR(VLOOKUP(Completions!B$2:B$5000,$J$4:$K$18,2,FALSE()),0)))</f>
        <v/>
      </c>
      <c r="G59" s="16" t="str">
        <f aca="false">IF(A59="","",IF(F59&gt;=20,"Gold",IF(F59&gt;=14,"Silver",IF(F59&gt;=8,"Bronze","—"))))</f>
        <v/>
      </c>
      <c r="H59" s="16" t="str">
        <f aca="false">IF(A59="","",IFERROR(TEXT(maxifs(Completions!G:G,Completions!A:A,A59),"yyyy-mm-dd hh:mm"),"—"))</f>
        <v/>
      </c>
    </row>
    <row r="60" customFormat="false" ht="21.75" hidden="false" customHeight="true" outlineLevel="0" collapsed="false">
      <c r="A60" s="17" t="str">
        <f aca="false">IFERROR(IF(Members!A57="","",Members!A57),"")</f>
        <v/>
      </c>
      <c r="B60" s="17" t="str">
        <f aca="false">IFERROR(IF(Members!A57="","",Members!B57),"")</f>
        <v/>
      </c>
      <c r="C60" s="17" t="str">
        <f aca="false">IFERROR(IF(Members!A57="","",Members!C57),"")</f>
        <v/>
      </c>
      <c r="D60" s="17" t="str">
        <f aca="false">IFERROR(IF(Members!A57="","",Members!D57),"")</f>
        <v/>
      </c>
      <c r="E60" s="17" t="str">
        <f aca="false">IF(A60="","",COUNTIF(Completions!A:A,A60))</f>
        <v/>
      </c>
      <c r="F60" s="17" t="str">
        <f aca="false">IF(A60="","",SUMPRODUCT((Completions!A$2:A$5000=A60)*IFERROR(VLOOKUP(Completions!B$2:B$5000,$J$4:$K$18,2,FALSE()),0)))</f>
        <v/>
      </c>
      <c r="G60" s="17" t="str">
        <f aca="false">IF(A60="","",IF(F60&gt;=20,"Gold",IF(F60&gt;=14,"Silver",IF(F60&gt;=8,"Bronze","—"))))</f>
        <v/>
      </c>
      <c r="H60" s="17" t="str">
        <f aca="false">IF(A60="","",IFERROR(TEXT(maxifs(Completions!G:G,Completions!A:A,A60),"yyyy-mm-dd hh:mm"),"—"))</f>
        <v/>
      </c>
    </row>
    <row r="61" customFormat="false" ht="21.75" hidden="false" customHeight="true" outlineLevel="0" collapsed="false">
      <c r="A61" s="16" t="str">
        <f aca="false">IFERROR(IF(Members!A58="","",Members!A58),"")</f>
        <v/>
      </c>
      <c r="B61" s="16" t="str">
        <f aca="false">IFERROR(IF(Members!A58="","",Members!B58),"")</f>
        <v/>
      </c>
      <c r="C61" s="16" t="str">
        <f aca="false">IFERROR(IF(Members!A58="","",Members!C58),"")</f>
        <v/>
      </c>
      <c r="D61" s="16" t="str">
        <f aca="false">IFERROR(IF(Members!A58="","",Members!D58),"")</f>
        <v/>
      </c>
      <c r="E61" s="16" t="str">
        <f aca="false">IF(A61="","",COUNTIF(Completions!A:A,A61))</f>
        <v/>
      </c>
      <c r="F61" s="16" t="str">
        <f aca="false">IF(A61="","",SUMPRODUCT((Completions!A$2:A$5000=A61)*IFERROR(VLOOKUP(Completions!B$2:B$5000,$J$4:$K$18,2,FALSE()),0)))</f>
        <v/>
      </c>
      <c r="G61" s="16" t="str">
        <f aca="false">IF(A61="","",IF(F61&gt;=20,"Gold",IF(F61&gt;=14,"Silver",IF(F61&gt;=8,"Bronze","—"))))</f>
        <v/>
      </c>
      <c r="H61" s="16" t="str">
        <f aca="false">IF(A61="","",IFERROR(TEXT(maxifs(Completions!G:G,Completions!A:A,A61),"yyyy-mm-dd hh:mm"),"—"))</f>
        <v/>
      </c>
    </row>
    <row r="62" customFormat="false" ht="21.75" hidden="false" customHeight="true" outlineLevel="0" collapsed="false">
      <c r="A62" s="17" t="str">
        <f aca="false">IFERROR(IF(Members!A59="","",Members!A59),"")</f>
        <v/>
      </c>
      <c r="B62" s="17" t="str">
        <f aca="false">IFERROR(IF(Members!A59="","",Members!B59),"")</f>
        <v/>
      </c>
      <c r="C62" s="17" t="str">
        <f aca="false">IFERROR(IF(Members!A59="","",Members!C59),"")</f>
        <v/>
      </c>
      <c r="D62" s="17" t="str">
        <f aca="false">IFERROR(IF(Members!A59="","",Members!D59),"")</f>
        <v/>
      </c>
      <c r="E62" s="17" t="str">
        <f aca="false">IF(A62="","",COUNTIF(Completions!A:A,A62))</f>
        <v/>
      </c>
      <c r="F62" s="17" t="str">
        <f aca="false">IF(A62="","",SUMPRODUCT((Completions!A$2:A$5000=A62)*IFERROR(VLOOKUP(Completions!B$2:B$5000,$J$4:$K$18,2,FALSE()),0)))</f>
        <v/>
      </c>
      <c r="G62" s="17" t="str">
        <f aca="false">IF(A62="","",IF(F62&gt;=20,"Gold",IF(F62&gt;=14,"Silver",IF(F62&gt;=8,"Bronze","—"))))</f>
        <v/>
      </c>
      <c r="H62" s="17" t="str">
        <f aca="false">IF(A62="","",IFERROR(TEXT(maxifs(Completions!G:G,Completions!A:A,A62),"yyyy-mm-dd hh:mm"),"—"))</f>
        <v/>
      </c>
    </row>
    <row r="63" customFormat="false" ht="21.75" hidden="false" customHeight="true" outlineLevel="0" collapsed="false">
      <c r="A63" s="16" t="str">
        <f aca="false">IFERROR(IF(Members!A60="","",Members!A60),"")</f>
        <v/>
      </c>
      <c r="B63" s="16" t="str">
        <f aca="false">IFERROR(IF(Members!A60="","",Members!B60),"")</f>
        <v/>
      </c>
      <c r="C63" s="16" t="str">
        <f aca="false">IFERROR(IF(Members!A60="","",Members!C60),"")</f>
        <v/>
      </c>
      <c r="D63" s="16" t="str">
        <f aca="false">IFERROR(IF(Members!A60="","",Members!D60),"")</f>
        <v/>
      </c>
      <c r="E63" s="16" t="str">
        <f aca="false">IF(A63="","",COUNTIF(Completions!A:A,A63))</f>
        <v/>
      </c>
      <c r="F63" s="16" t="str">
        <f aca="false">IF(A63="","",SUMPRODUCT((Completions!A$2:A$5000=A63)*IFERROR(VLOOKUP(Completions!B$2:B$5000,$J$4:$K$18,2,FALSE()),0)))</f>
        <v/>
      </c>
      <c r="G63" s="16" t="str">
        <f aca="false">IF(A63="","",IF(F63&gt;=20,"Gold",IF(F63&gt;=14,"Silver",IF(F63&gt;=8,"Bronze","—"))))</f>
        <v/>
      </c>
      <c r="H63" s="16" t="str">
        <f aca="false">IF(A63="","",IFERROR(TEXT(maxifs(Completions!G:G,Completions!A:A,A63),"yyyy-mm-dd hh:mm"),"—"))</f>
        <v/>
      </c>
    </row>
    <row r="64" customFormat="false" ht="21.75" hidden="false" customHeight="true" outlineLevel="0" collapsed="false">
      <c r="A64" s="17" t="str">
        <f aca="false">IFERROR(IF(Members!A61="","",Members!A61),"")</f>
        <v/>
      </c>
      <c r="B64" s="17" t="str">
        <f aca="false">IFERROR(IF(Members!A61="","",Members!B61),"")</f>
        <v/>
      </c>
      <c r="C64" s="17" t="str">
        <f aca="false">IFERROR(IF(Members!A61="","",Members!C61),"")</f>
        <v/>
      </c>
      <c r="D64" s="17" t="str">
        <f aca="false">IFERROR(IF(Members!A61="","",Members!D61),"")</f>
        <v/>
      </c>
      <c r="E64" s="17" t="str">
        <f aca="false">IF(A64="","",COUNTIF(Completions!A:A,A64))</f>
        <v/>
      </c>
      <c r="F64" s="17" t="str">
        <f aca="false">IF(A64="","",SUMPRODUCT((Completions!A$2:A$5000=A64)*IFERROR(VLOOKUP(Completions!B$2:B$5000,$J$4:$K$18,2,FALSE()),0)))</f>
        <v/>
      </c>
      <c r="G64" s="17" t="str">
        <f aca="false">IF(A64="","",IF(F64&gt;=20,"Gold",IF(F64&gt;=14,"Silver",IF(F64&gt;=8,"Bronze","—"))))</f>
        <v/>
      </c>
      <c r="H64" s="17" t="str">
        <f aca="false">IF(A64="","",IFERROR(TEXT(maxifs(Completions!G:G,Completions!A:A,A64),"yyyy-mm-dd hh:mm"),"—"))</f>
        <v/>
      </c>
    </row>
    <row r="65" customFormat="false" ht="21.75" hidden="false" customHeight="true" outlineLevel="0" collapsed="false">
      <c r="A65" s="16" t="str">
        <f aca="false">IFERROR(IF(Members!A62="","",Members!A62),"")</f>
        <v/>
      </c>
      <c r="B65" s="16" t="str">
        <f aca="false">IFERROR(IF(Members!A62="","",Members!B62),"")</f>
        <v/>
      </c>
      <c r="C65" s="16" t="str">
        <f aca="false">IFERROR(IF(Members!A62="","",Members!C62),"")</f>
        <v/>
      </c>
      <c r="D65" s="16" t="str">
        <f aca="false">IFERROR(IF(Members!A62="","",Members!D62),"")</f>
        <v/>
      </c>
      <c r="E65" s="16" t="str">
        <f aca="false">IF(A65="","",COUNTIF(Completions!A:A,A65))</f>
        <v/>
      </c>
      <c r="F65" s="16" t="str">
        <f aca="false">IF(A65="","",SUMPRODUCT((Completions!A$2:A$5000=A65)*IFERROR(VLOOKUP(Completions!B$2:B$5000,$J$4:$K$18,2,FALSE()),0)))</f>
        <v/>
      </c>
      <c r="G65" s="16" t="str">
        <f aca="false">IF(A65="","",IF(F65&gt;=20,"Gold",IF(F65&gt;=14,"Silver",IF(F65&gt;=8,"Bronze","—"))))</f>
        <v/>
      </c>
      <c r="H65" s="16" t="str">
        <f aca="false">IF(A65="","",IFERROR(TEXT(maxifs(Completions!G:G,Completions!A:A,A65),"yyyy-mm-dd hh:mm"),"—"))</f>
        <v/>
      </c>
    </row>
    <row r="66" customFormat="false" ht="21.75" hidden="false" customHeight="true" outlineLevel="0" collapsed="false">
      <c r="A66" s="17" t="str">
        <f aca="false">IFERROR(IF(Members!A63="","",Members!A63),"")</f>
        <v/>
      </c>
      <c r="B66" s="17" t="str">
        <f aca="false">IFERROR(IF(Members!A63="","",Members!B63),"")</f>
        <v/>
      </c>
      <c r="C66" s="17" t="str">
        <f aca="false">IFERROR(IF(Members!A63="","",Members!C63),"")</f>
        <v/>
      </c>
      <c r="D66" s="17" t="str">
        <f aca="false">IFERROR(IF(Members!A63="","",Members!D63),"")</f>
        <v/>
      </c>
      <c r="E66" s="17" t="str">
        <f aca="false">IF(A66="","",COUNTIF(Completions!A:A,A66))</f>
        <v/>
      </c>
      <c r="F66" s="17" t="str">
        <f aca="false">IF(A66="","",SUMPRODUCT((Completions!A$2:A$5000=A66)*IFERROR(VLOOKUP(Completions!B$2:B$5000,$J$4:$K$18,2,FALSE()),0)))</f>
        <v/>
      </c>
      <c r="G66" s="17" t="str">
        <f aca="false">IF(A66="","",IF(F66&gt;=20,"Gold",IF(F66&gt;=14,"Silver",IF(F66&gt;=8,"Bronze","—"))))</f>
        <v/>
      </c>
      <c r="H66" s="17" t="str">
        <f aca="false">IF(A66="","",IFERROR(TEXT(maxifs(Completions!G:G,Completions!A:A,A66),"yyyy-mm-dd hh:mm"),"—"))</f>
        <v/>
      </c>
    </row>
    <row r="67" customFormat="false" ht="21.75" hidden="false" customHeight="true" outlineLevel="0" collapsed="false">
      <c r="A67" s="16" t="str">
        <f aca="false">IFERROR(IF(Members!A64="","",Members!A64),"")</f>
        <v/>
      </c>
      <c r="B67" s="16" t="str">
        <f aca="false">IFERROR(IF(Members!A64="","",Members!B64),"")</f>
        <v/>
      </c>
      <c r="C67" s="16" t="str">
        <f aca="false">IFERROR(IF(Members!A64="","",Members!C64),"")</f>
        <v/>
      </c>
      <c r="D67" s="16" t="str">
        <f aca="false">IFERROR(IF(Members!A64="","",Members!D64),"")</f>
        <v/>
      </c>
      <c r="E67" s="16" t="str">
        <f aca="false">IF(A67="","",COUNTIF(Completions!A:A,A67))</f>
        <v/>
      </c>
      <c r="F67" s="16" t="str">
        <f aca="false">IF(A67="","",SUMPRODUCT((Completions!A$2:A$5000=A67)*IFERROR(VLOOKUP(Completions!B$2:B$5000,$J$4:$K$18,2,FALSE()),0)))</f>
        <v/>
      </c>
      <c r="G67" s="16" t="str">
        <f aca="false">IF(A67="","",IF(F67&gt;=20,"Gold",IF(F67&gt;=14,"Silver",IF(F67&gt;=8,"Bronze","—"))))</f>
        <v/>
      </c>
      <c r="H67" s="16" t="str">
        <f aca="false">IF(A67="","",IFERROR(TEXT(maxifs(Completions!G:G,Completions!A:A,A67),"yyyy-mm-dd hh:mm"),"—"))</f>
        <v/>
      </c>
    </row>
    <row r="68" customFormat="false" ht="21.75" hidden="false" customHeight="true" outlineLevel="0" collapsed="false">
      <c r="A68" s="17" t="str">
        <f aca="false">IFERROR(IF(Members!A65="","",Members!A65),"")</f>
        <v/>
      </c>
      <c r="B68" s="17" t="str">
        <f aca="false">IFERROR(IF(Members!A65="","",Members!B65),"")</f>
        <v/>
      </c>
      <c r="C68" s="17" t="str">
        <f aca="false">IFERROR(IF(Members!A65="","",Members!C65),"")</f>
        <v/>
      </c>
      <c r="D68" s="17" t="str">
        <f aca="false">IFERROR(IF(Members!A65="","",Members!D65),"")</f>
        <v/>
      </c>
      <c r="E68" s="17" t="str">
        <f aca="false">IF(A68="","",COUNTIF(Completions!A:A,A68))</f>
        <v/>
      </c>
      <c r="F68" s="17" t="str">
        <f aca="false">IF(A68="","",SUMPRODUCT((Completions!A$2:A$5000=A68)*IFERROR(VLOOKUP(Completions!B$2:B$5000,$J$4:$K$18,2,FALSE()),0)))</f>
        <v/>
      </c>
      <c r="G68" s="17" t="str">
        <f aca="false">IF(A68="","",IF(F68&gt;=20,"Gold",IF(F68&gt;=14,"Silver",IF(F68&gt;=8,"Bronze","—"))))</f>
        <v/>
      </c>
      <c r="H68" s="17" t="str">
        <f aca="false">IF(A68="","",IFERROR(TEXT(maxifs(Completions!G:G,Completions!A:A,A68),"yyyy-mm-dd hh:mm"),"—"))</f>
        <v/>
      </c>
    </row>
    <row r="69" customFormat="false" ht="21.75" hidden="false" customHeight="true" outlineLevel="0" collapsed="false">
      <c r="A69" s="16" t="str">
        <f aca="false">IFERROR(IF(Members!A66="","",Members!A66),"")</f>
        <v/>
      </c>
      <c r="B69" s="16" t="str">
        <f aca="false">IFERROR(IF(Members!A66="","",Members!B66),"")</f>
        <v/>
      </c>
      <c r="C69" s="16" t="str">
        <f aca="false">IFERROR(IF(Members!A66="","",Members!C66),"")</f>
        <v/>
      </c>
      <c r="D69" s="16" t="str">
        <f aca="false">IFERROR(IF(Members!A66="","",Members!D66),"")</f>
        <v/>
      </c>
      <c r="E69" s="16" t="str">
        <f aca="false">IF(A69="","",COUNTIF(Completions!A:A,A69))</f>
        <v/>
      </c>
      <c r="F69" s="16" t="str">
        <f aca="false">IF(A69="","",SUMPRODUCT((Completions!A$2:A$5000=A69)*IFERROR(VLOOKUP(Completions!B$2:B$5000,$J$4:$K$18,2,FALSE()),0)))</f>
        <v/>
      </c>
      <c r="G69" s="16" t="str">
        <f aca="false">IF(A69="","",IF(F69&gt;=20,"Gold",IF(F69&gt;=14,"Silver",IF(F69&gt;=8,"Bronze","—"))))</f>
        <v/>
      </c>
      <c r="H69" s="16" t="str">
        <f aca="false">IF(A69="","",IFERROR(TEXT(maxifs(Completions!G:G,Completions!A:A,A69),"yyyy-mm-dd hh:mm"),"—"))</f>
        <v/>
      </c>
    </row>
    <row r="70" customFormat="false" ht="21.75" hidden="false" customHeight="true" outlineLevel="0" collapsed="false">
      <c r="A70" s="17" t="str">
        <f aca="false">IFERROR(IF(Members!A67="","",Members!A67),"")</f>
        <v/>
      </c>
      <c r="B70" s="17" t="str">
        <f aca="false">IFERROR(IF(Members!A67="","",Members!B67),"")</f>
        <v/>
      </c>
      <c r="C70" s="17" t="str">
        <f aca="false">IFERROR(IF(Members!A67="","",Members!C67),"")</f>
        <v/>
      </c>
      <c r="D70" s="17" t="str">
        <f aca="false">IFERROR(IF(Members!A67="","",Members!D67),"")</f>
        <v/>
      </c>
      <c r="E70" s="17" t="str">
        <f aca="false">IF(A70="","",COUNTIF(Completions!A:A,A70))</f>
        <v/>
      </c>
      <c r="F70" s="17" t="str">
        <f aca="false">IF(A70="","",SUMPRODUCT((Completions!A$2:A$5000=A70)*IFERROR(VLOOKUP(Completions!B$2:B$5000,$J$4:$K$18,2,FALSE()),0)))</f>
        <v/>
      </c>
      <c r="G70" s="17" t="str">
        <f aca="false">IF(A70="","",IF(F70&gt;=20,"Gold",IF(F70&gt;=14,"Silver",IF(F70&gt;=8,"Bronze","—"))))</f>
        <v/>
      </c>
      <c r="H70" s="17" t="str">
        <f aca="false">IF(A70="","",IFERROR(TEXT(maxifs(Completions!G:G,Completions!A:A,A70),"yyyy-mm-dd hh:mm"),"—"))</f>
        <v/>
      </c>
    </row>
    <row r="71" customFormat="false" ht="21.75" hidden="false" customHeight="true" outlineLevel="0" collapsed="false">
      <c r="A71" s="16" t="str">
        <f aca="false">IFERROR(IF(Members!A68="","",Members!A68),"")</f>
        <v/>
      </c>
      <c r="B71" s="16" t="str">
        <f aca="false">IFERROR(IF(Members!A68="","",Members!B68),"")</f>
        <v/>
      </c>
      <c r="C71" s="16" t="str">
        <f aca="false">IFERROR(IF(Members!A68="","",Members!C68),"")</f>
        <v/>
      </c>
      <c r="D71" s="16" t="str">
        <f aca="false">IFERROR(IF(Members!A68="","",Members!D68),"")</f>
        <v/>
      </c>
      <c r="E71" s="16" t="str">
        <f aca="false">IF(A71="","",COUNTIF(Completions!A:A,A71))</f>
        <v/>
      </c>
      <c r="F71" s="16" t="str">
        <f aca="false">IF(A71="","",SUMPRODUCT((Completions!A$2:A$5000=A71)*IFERROR(VLOOKUP(Completions!B$2:B$5000,$J$4:$K$18,2,FALSE()),0)))</f>
        <v/>
      </c>
      <c r="G71" s="16" t="str">
        <f aca="false">IF(A71="","",IF(F71&gt;=20,"Gold",IF(F71&gt;=14,"Silver",IF(F71&gt;=8,"Bronze","—"))))</f>
        <v/>
      </c>
      <c r="H71" s="16" t="str">
        <f aca="false">IF(A71="","",IFERROR(TEXT(maxifs(Completions!G:G,Completions!A:A,A71),"yyyy-mm-dd hh:mm"),"—"))</f>
        <v/>
      </c>
    </row>
    <row r="72" customFormat="false" ht="21.75" hidden="false" customHeight="true" outlineLevel="0" collapsed="false">
      <c r="A72" s="17" t="str">
        <f aca="false">IFERROR(IF(Members!A69="","",Members!A69),"")</f>
        <v/>
      </c>
      <c r="B72" s="17" t="str">
        <f aca="false">IFERROR(IF(Members!A69="","",Members!B69),"")</f>
        <v/>
      </c>
      <c r="C72" s="17" t="str">
        <f aca="false">IFERROR(IF(Members!A69="","",Members!C69),"")</f>
        <v/>
      </c>
      <c r="D72" s="17" t="str">
        <f aca="false">IFERROR(IF(Members!A69="","",Members!D69),"")</f>
        <v/>
      </c>
      <c r="E72" s="17" t="str">
        <f aca="false">IF(A72="","",COUNTIF(Completions!A:A,A72))</f>
        <v/>
      </c>
      <c r="F72" s="17" t="str">
        <f aca="false">IF(A72="","",SUMPRODUCT((Completions!A$2:A$5000=A72)*IFERROR(VLOOKUP(Completions!B$2:B$5000,$J$4:$K$18,2,FALSE()),0)))</f>
        <v/>
      </c>
      <c r="G72" s="17" t="str">
        <f aca="false">IF(A72="","",IF(F72&gt;=20,"Gold",IF(F72&gt;=14,"Silver",IF(F72&gt;=8,"Bronze","—"))))</f>
        <v/>
      </c>
      <c r="H72" s="17" t="str">
        <f aca="false">IF(A72="","",IFERROR(TEXT(maxifs(Completions!G:G,Completions!A:A,A72),"yyyy-mm-dd hh:mm"),"—"))</f>
        <v/>
      </c>
    </row>
    <row r="73" customFormat="false" ht="21.75" hidden="false" customHeight="true" outlineLevel="0" collapsed="false">
      <c r="A73" s="16" t="str">
        <f aca="false">IFERROR(IF(Members!A70="","",Members!A70),"")</f>
        <v/>
      </c>
      <c r="B73" s="16" t="str">
        <f aca="false">IFERROR(IF(Members!A70="","",Members!B70),"")</f>
        <v/>
      </c>
      <c r="C73" s="16" t="str">
        <f aca="false">IFERROR(IF(Members!A70="","",Members!C70),"")</f>
        <v/>
      </c>
      <c r="D73" s="16" t="str">
        <f aca="false">IFERROR(IF(Members!A70="","",Members!D70),"")</f>
        <v/>
      </c>
      <c r="E73" s="16" t="str">
        <f aca="false">IF(A73="","",COUNTIF(Completions!A:A,A73))</f>
        <v/>
      </c>
      <c r="F73" s="16" t="str">
        <f aca="false">IF(A73="","",SUMPRODUCT((Completions!A$2:A$5000=A73)*IFERROR(VLOOKUP(Completions!B$2:B$5000,$J$4:$K$18,2,FALSE()),0)))</f>
        <v/>
      </c>
      <c r="G73" s="16" t="str">
        <f aca="false">IF(A73="","",IF(F73&gt;=20,"Gold",IF(F73&gt;=14,"Silver",IF(F73&gt;=8,"Bronze","—"))))</f>
        <v/>
      </c>
      <c r="H73" s="16" t="str">
        <f aca="false">IF(A73="","",IFERROR(TEXT(maxifs(Completions!G:G,Completions!A:A,A73),"yyyy-mm-dd hh:mm"),"—"))</f>
        <v/>
      </c>
    </row>
    <row r="74" customFormat="false" ht="21.75" hidden="false" customHeight="true" outlineLevel="0" collapsed="false">
      <c r="A74" s="17" t="str">
        <f aca="false">IFERROR(IF(Members!A71="","",Members!A71),"")</f>
        <v/>
      </c>
      <c r="B74" s="17" t="str">
        <f aca="false">IFERROR(IF(Members!A71="","",Members!B71),"")</f>
        <v/>
      </c>
      <c r="C74" s="17" t="str">
        <f aca="false">IFERROR(IF(Members!A71="","",Members!C71),"")</f>
        <v/>
      </c>
      <c r="D74" s="17" t="str">
        <f aca="false">IFERROR(IF(Members!A71="","",Members!D71),"")</f>
        <v/>
      </c>
      <c r="E74" s="17" t="str">
        <f aca="false">IF(A74="","",COUNTIF(Completions!A:A,A74))</f>
        <v/>
      </c>
      <c r="F74" s="17" t="str">
        <f aca="false">IF(A74="","",SUMPRODUCT((Completions!A$2:A$5000=A74)*IFERROR(VLOOKUP(Completions!B$2:B$5000,$J$4:$K$18,2,FALSE()),0)))</f>
        <v/>
      </c>
      <c r="G74" s="17" t="str">
        <f aca="false">IF(A74="","",IF(F74&gt;=20,"Gold",IF(F74&gt;=14,"Silver",IF(F74&gt;=8,"Bronze","—"))))</f>
        <v/>
      </c>
      <c r="H74" s="17" t="str">
        <f aca="false">IF(A74="","",IFERROR(TEXT(maxifs(Completions!G:G,Completions!A:A,A74),"yyyy-mm-dd hh:mm"),"—"))</f>
        <v/>
      </c>
    </row>
    <row r="75" customFormat="false" ht="21.75" hidden="false" customHeight="true" outlineLevel="0" collapsed="false">
      <c r="A75" s="16" t="str">
        <f aca="false">IFERROR(IF(Members!A72="","",Members!A72),"")</f>
        <v/>
      </c>
      <c r="B75" s="16" t="str">
        <f aca="false">IFERROR(IF(Members!A72="","",Members!B72),"")</f>
        <v/>
      </c>
      <c r="C75" s="16" t="str">
        <f aca="false">IFERROR(IF(Members!A72="","",Members!C72),"")</f>
        <v/>
      </c>
      <c r="D75" s="16" t="str">
        <f aca="false">IFERROR(IF(Members!A72="","",Members!D72),"")</f>
        <v/>
      </c>
      <c r="E75" s="16" t="str">
        <f aca="false">IF(A75="","",COUNTIF(Completions!A:A,A75))</f>
        <v/>
      </c>
      <c r="F75" s="16" t="str">
        <f aca="false">IF(A75="","",SUMPRODUCT((Completions!A$2:A$5000=A75)*IFERROR(VLOOKUP(Completions!B$2:B$5000,$J$4:$K$18,2,FALSE()),0)))</f>
        <v/>
      </c>
      <c r="G75" s="16" t="str">
        <f aca="false">IF(A75="","",IF(F75&gt;=20,"Gold",IF(F75&gt;=14,"Silver",IF(F75&gt;=8,"Bronze","—"))))</f>
        <v/>
      </c>
      <c r="H75" s="16" t="str">
        <f aca="false">IF(A75="","",IFERROR(TEXT(maxifs(Completions!G:G,Completions!A:A,A75),"yyyy-mm-dd hh:mm"),"—"))</f>
        <v/>
      </c>
    </row>
    <row r="76" customFormat="false" ht="21.75" hidden="false" customHeight="true" outlineLevel="0" collapsed="false">
      <c r="A76" s="17" t="str">
        <f aca="false">IFERROR(IF(Members!A73="","",Members!A73),"")</f>
        <v/>
      </c>
      <c r="B76" s="17" t="str">
        <f aca="false">IFERROR(IF(Members!A73="","",Members!B73),"")</f>
        <v/>
      </c>
      <c r="C76" s="17" t="str">
        <f aca="false">IFERROR(IF(Members!A73="","",Members!C73),"")</f>
        <v/>
      </c>
      <c r="D76" s="17" t="str">
        <f aca="false">IFERROR(IF(Members!A73="","",Members!D73),"")</f>
        <v/>
      </c>
      <c r="E76" s="17" t="str">
        <f aca="false">IF(A76="","",COUNTIF(Completions!A:A,A76))</f>
        <v/>
      </c>
      <c r="F76" s="17" t="str">
        <f aca="false">IF(A76="","",SUMPRODUCT((Completions!A$2:A$5000=A76)*IFERROR(VLOOKUP(Completions!B$2:B$5000,$J$4:$K$18,2,FALSE()),0)))</f>
        <v/>
      </c>
      <c r="G76" s="17" t="str">
        <f aca="false">IF(A76="","",IF(F76&gt;=20,"Gold",IF(F76&gt;=14,"Silver",IF(F76&gt;=8,"Bronze","—"))))</f>
        <v/>
      </c>
      <c r="H76" s="17" t="str">
        <f aca="false">IF(A76="","",IFERROR(TEXT(maxifs(Completions!G:G,Completions!A:A,A76),"yyyy-mm-dd hh:mm"),"—"))</f>
        <v/>
      </c>
    </row>
    <row r="77" customFormat="false" ht="21.75" hidden="false" customHeight="true" outlineLevel="0" collapsed="false">
      <c r="A77" s="16" t="str">
        <f aca="false">IFERROR(IF(Members!A74="","",Members!A74),"")</f>
        <v/>
      </c>
      <c r="B77" s="16" t="str">
        <f aca="false">IFERROR(IF(Members!A74="","",Members!B74),"")</f>
        <v/>
      </c>
      <c r="C77" s="16" t="str">
        <f aca="false">IFERROR(IF(Members!A74="","",Members!C74),"")</f>
        <v/>
      </c>
      <c r="D77" s="16" t="str">
        <f aca="false">IFERROR(IF(Members!A74="","",Members!D74),"")</f>
        <v/>
      </c>
      <c r="E77" s="16" t="str">
        <f aca="false">IF(A77="","",COUNTIF(Completions!A:A,A77))</f>
        <v/>
      </c>
      <c r="F77" s="16" t="str">
        <f aca="false">IF(A77="","",SUMPRODUCT((Completions!A$2:A$5000=A77)*IFERROR(VLOOKUP(Completions!B$2:B$5000,$J$4:$K$18,2,FALSE()),0)))</f>
        <v/>
      </c>
      <c r="G77" s="16" t="str">
        <f aca="false">IF(A77="","",IF(F77&gt;=20,"Gold",IF(F77&gt;=14,"Silver",IF(F77&gt;=8,"Bronze","—"))))</f>
        <v/>
      </c>
      <c r="H77" s="16" t="str">
        <f aca="false">IF(A77="","",IFERROR(TEXT(maxifs(Completions!G:G,Completions!A:A,A77),"yyyy-mm-dd hh:mm"),"—"))</f>
        <v/>
      </c>
    </row>
    <row r="78" customFormat="false" ht="21.75" hidden="false" customHeight="true" outlineLevel="0" collapsed="false">
      <c r="A78" s="17" t="str">
        <f aca="false">IFERROR(IF(Members!A75="","",Members!A75),"")</f>
        <v/>
      </c>
      <c r="B78" s="17" t="str">
        <f aca="false">IFERROR(IF(Members!A75="","",Members!B75),"")</f>
        <v/>
      </c>
      <c r="C78" s="17" t="str">
        <f aca="false">IFERROR(IF(Members!A75="","",Members!C75),"")</f>
        <v/>
      </c>
      <c r="D78" s="17" t="str">
        <f aca="false">IFERROR(IF(Members!A75="","",Members!D75),"")</f>
        <v/>
      </c>
      <c r="E78" s="17" t="str">
        <f aca="false">IF(A78="","",COUNTIF(Completions!A:A,A78))</f>
        <v/>
      </c>
      <c r="F78" s="17" t="str">
        <f aca="false">IF(A78="","",SUMPRODUCT((Completions!A$2:A$5000=A78)*IFERROR(VLOOKUP(Completions!B$2:B$5000,$J$4:$K$18,2,FALSE()),0)))</f>
        <v/>
      </c>
      <c r="G78" s="17" t="str">
        <f aca="false">IF(A78="","",IF(F78&gt;=20,"Gold",IF(F78&gt;=14,"Silver",IF(F78&gt;=8,"Bronze","—"))))</f>
        <v/>
      </c>
      <c r="H78" s="17" t="str">
        <f aca="false">IF(A78="","",IFERROR(TEXT(maxifs(Completions!G:G,Completions!A:A,A78),"yyyy-mm-dd hh:mm"),"—"))</f>
        <v/>
      </c>
    </row>
    <row r="79" customFormat="false" ht="21.75" hidden="false" customHeight="true" outlineLevel="0" collapsed="false">
      <c r="A79" s="16" t="str">
        <f aca="false">IFERROR(IF(Members!A76="","",Members!A76),"")</f>
        <v/>
      </c>
      <c r="B79" s="16" t="str">
        <f aca="false">IFERROR(IF(Members!A76="","",Members!B76),"")</f>
        <v/>
      </c>
      <c r="C79" s="16" t="str">
        <f aca="false">IFERROR(IF(Members!A76="","",Members!C76),"")</f>
        <v/>
      </c>
      <c r="D79" s="16" t="str">
        <f aca="false">IFERROR(IF(Members!A76="","",Members!D76),"")</f>
        <v/>
      </c>
      <c r="E79" s="16" t="str">
        <f aca="false">IF(A79="","",COUNTIF(Completions!A:A,A79))</f>
        <v/>
      </c>
      <c r="F79" s="16" t="str">
        <f aca="false">IF(A79="","",SUMPRODUCT((Completions!A$2:A$5000=A79)*IFERROR(VLOOKUP(Completions!B$2:B$5000,$J$4:$K$18,2,FALSE()),0)))</f>
        <v/>
      </c>
      <c r="G79" s="16" t="str">
        <f aca="false">IF(A79="","",IF(F79&gt;=20,"Gold",IF(F79&gt;=14,"Silver",IF(F79&gt;=8,"Bronze","—"))))</f>
        <v/>
      </c>
      <c r="H79" s="16" t="str">
        <f aca="false">IF(A79="","",IFERROR(TEXT(maxifs(Completions!G:G,Completions!A:A,A79),"yyyy-mm-dd hh:mm"),"—"))</f>
        <v/>
      </c>
    </row>
    <row r="80" customFormat="false" ht="21.75" hidden="false" customHeight="true" outlineLevel="0" collapsed="false">
      <c r="A80" s="17" t="str">
        <f aca="false">IFERROR(IF(Members!A77="","",Members!A77),"")</f>
        <v/>
      </c>
      <c r="B80" s="17" t="str">
        <f aca="false">IFERROR(IF(Members!A77="","",Members!B77),"")</f>
        <v/>
      </c>
      <c r="C80" s="17" t="str">
        <f aca="false">IFERROR(IF(Members!A77="","",Members!C77),"")</f>
        <v/>
      </c>
      <c r="D80" s="17" t="str">
        <f aca="false">IFERROR(IF(Members!A77="","",Members!D77),"")</f>
        <v/>
      </c>
      <c r="E80" s="17" t="str">
        <f aca="false">IF(A80="","",COUNTIF(Completions!A:A,A80))</f>
        <v/>
      </c>
      <c r="F80" s="17" t="str">
        <f aca="false">IF(A80="","",SUMPRODUCT((Completions!A$2:A$5000=A80)*IFERROR(VLOOKUP(Completions!B$2:B$5000,$J$4:$K$18,2,FALSE()),0)))</f>
        <v/>
      </c>
      <c r="G80" s="17" t="str">
        <f aca="false">IF(A80="","",IF(F80&gt;=20,"Gold",IF(F80&gt;=14,"Silver",IF(F80&gt;=8,"Bronze","—"))))</f>
        <v/>
      </c>
      <c r="H80" s="17" t="str">
        <f aca="false">IF(A80="","",IFERROR(TEXT(maxifs(Completions!G:G,Completions!A:A,A80),"yyyy-mm-dd hh:mm"),"—"))</f>
        <v/>
      </c>
    </row>
    <row r="81" customFormat="false" ht="21.75" hidden="false" customHeight="true" outlineLevel="0" collapsed="false">
      <c r="A81" s="16" t="str">
        <f aca="false">IFERROR(IF(Members!A78="","",Members!A78),"")</f>
        <v/>
      </c>
      <c r="B81" s="16" t="str">
        <f aca="false">IFERROR(IF(Members!A78="","",Members!B78),"")</f>
        <v/>
      </c>
      <c r="C81" s="16" t="str">
        <f aca="false">IFERROR(IF(Members!A78="","",Members!C78),"")</f>
        <v/>
      </c>
      <c r="D81" s="16" t="str">
        <f aca="false">IFERROR(IF(Members!A78="","",Members!D78),"")</f>
        <v/>
      </c>
      <c r="E81" s="16" t="str">
        <f aca="false">IF(A81="","",COUNTIF(Completions!A:A,A81))</f>
        <v/>
      </c>
      <c r="F81" s="16" t="str">
        <f aca="false">IF(A81="","",SUMPRODUCT((Completions!A$2:A$5000=A81)*IFERROR(VLOOKUP(Completions!B$2:B$5000,$J$4:$K$18,2,FALSE()),0)))</f>
        <v/>
      </c>
      <c r="G81" s="16" t="str">
        <f aca="false">IF(A81="","",IF(F81&gt;=20,"Gold",IF(F81&gt;=14,"Silver",IF(F81&gt;=8,"Bronze","—"))))</f>
        <v/>
      </c>
      <c r="H81" s="16" t="str">
        <f aca="false">IF(A81="","",IFERROR(TEXT(maxifs(Completions!G:G,Completions!A:A,A81),"yyyy-mm-dd hh:mm"),"—"))</f>
        <v/>
      </c>
    </row>
    <row r="82" customFormat="false" ht="21.75" hidden="false" customHeight="true" outlineLevel="0" collapsed="false">
      <c r="A82" s="17" t="str">
        <f aca="false">IFERROR(IF(Members!A79="","",Members!A79),"")</f>
        <v/>
      </c>
      <c r="B82" s="17" t="str">
        <f aca="false">IFERROR(IF(Members!A79="","",Members!B79),"")</f>
        <v/>
      </c>
      <c r="C82" s="17" t="str">
        <f aca="false">IFERROR(IF(Members!A79="","",Members!C79),"")</f>
        <v/>
      </c>
      <c r="D82" s="17" t="str">
        <f aca="false">IFERROR(IF(Members!A79="","",Members!D79),"")</f>
        <v/>
      </c>
      <c r="E82" s="17" t="str">
        <f aca="false">IF(A82="","",COUNTIF(Completions!A:A,A82))</f>
        <v/>
      </c>
      <c r="F82" s="17" t="str">
        <f aca="false">IF(A82="","",SUMPRODUCT((Completions!A$2:A$5000=A82)*IFERROR(VLOOKUP(Completions!B$2:B$5000,$J$4:$K$18,2,FALSE()),0)))</f>
        <v/>
      </c>
      <c r="G82" s="17" t="str">
        <f aca="false">IF(A82="","",IF(F82&gt;=20,"Gold",IF(F82&gt;=14,"Silver",IF(F82&gt;=8,"Bronze","—"))))</f>
        <v/>
      </c>
      <c r="H82" s="17" t="str">
        <f aca="false">IF(A82="","",IFERROR(TEXT(maxifs(Completions!G:G,Completions!A:A,A82),"yyyy-mm-dd hh:mm"),"—"))</f>
        <v/>
      </c>
    </row>
    <row r="83" customFormat="false" ht="21.75" hidden="false" customHeight="true" outlineLevel="0" collapsed="false">
      <c r="A83" s="16" t="str">
        <f aca="false">IFERROR(IF(Members!A80="","",Members!A80),"")</f>
        <v/>
      </c>
      <c r="B83" s="16" t="str">
        <f aca="false">IFERROR(IF(Members!A80="","",Members!B80),"")</f>
        <v/>
      </c>
      <c r="C83" s="16" t="str">
        <f aca="false">IFERROR(IF(Members!A80="","",Members!C80),"")</f>
        <v/>
      </c>
      <c r="D83" s="16" t="str">
        <f aca="false">IFERROR(IF(Members!A80="","",Members!D80),"")</f>
        <v/>
      </c>
      <c r="E83" s="16" t="str">
        <f aca="false">IF(A83="","",COUNTIF(Completions!A:A,A83))</f>
        <v/>
      </c>
      <c r="F83" s="16" t="str">
        <f aca="false">IF(A83="","",SUMPRODUCT((Completions!A$2:A$5000=A83)*IFERROR(VLOOKUP(Completions!B$2:B$5000,$J$4:$K$18,2,FALSE()),0)))</f>
        <v/>
      </c>
      <c r="G83" s="16" t="str">
        <f aca="false">IF(A83="","",IF(F83&gt;=20,"Gold",IF(F83&gt;=14,"Silver",IF(F83&gt;=8,"Bronze","—"))))</f>
        <v/>
      </c>
      <c r="H83" s="16" t="str">
        <f aca="false">IF(A83="","",IFERROR(TEXT(maxifs(Completions!G:G,Completions!A:A,A83),"yyyy-mm-dd hh:mm"),"—"))</f>
        <v/>
      </c>
    </row>
    <row r="84" customFormat="false" ht="21.75" hidden="false" customHeight="true" outlineLevel="0" collapsed="false">
      <c r="A84" s="17" t="str">
        <f aca="false">IFERROR(IF(Members!A81="","",Members!A81),"")</f>
        <v/>
      </c>
      <c r="B84" s="17" t="str">
        <f aca="false">IFERROR(IF(Members!A81="","",Members!B81),"")</f>
        <v/>
      </c>
      <c r="C84" s="17" t="str">
        <f aca="false">IFERROR(IF(Members!A81="","",Members!C81),"")</f>
        <v/>
      </c>
      <c r="D84" s="17" t="str">
        <f aca="false">IFERROR(IF(Members!A81="","",Members!D81),"")</f>
        <v/>
      </c>
      <c r="E84" s="17" t="str">
        <f aca="false">IF(A84="","",COUNTIF(Completions!A:A,A84))</f>
        <v/>
      </c>
      <c r="F84" s="17" t="str">
        <f aca="false">IF(A84="","",SUMPRODUCT((Completions!A$2:A$5000=A84)*IFERROR(VLOOKUP(Completions!B$2:B$5000,$J$4:$K$18,2,FALSE()),0)))</f>
        <v/>
      </c>
      <c r="G84" s="17" t="str">
        <f aca="false">IF(A84="","",IF(F84&gt;=20,"Gold",IF(F84&gt;=14,"Silver",IF(F84&gt;=8,"Bronze","—"))))</f>
        <v/>
      </c>
      <c r="H84" s="17" t="str">
        <f aca="false">IF(A84="","",IFERROR(TEXT(maxifs(Completions!G:G,Completions!A:A,A84),"yyyy-mm-dd hh:mm"),"—"))</f>
        <v/>
      </c>
    </row>
    <row r="85" customFormat="false" ht="21.75" hidden="false" customHeight="true" outlineLevel="0" collapsed="false">
      <c r="A85" s="16" t="str">
        <f aca="false">IFERROR(IF(Members!A82="","",Members!A82),"")</f>
        <v/>
      </c>
      <c r="B85" s="16" t="str">
        <f aca="false">IFERROR(IF(Members!A82="","",Members!B82),"")</f>
        <v/>
      </c>
      <c r="C85" s="16" t="str">
        <f aca="false">IFERROR(IF(Members!A82="","",Members!C82),"")</f>
        <v/>
      </c>
      <c r="D85" s="16" t="str">
        <f aca="false">IFERROR(IF(Members!A82="","",Members!D82),"")</f>
        <v/>
      </c>
      <c r="E85" s="16" t="str">
        <f aca="false">IF(A85="","",COUNTIF(Completions!A:A,A85))</f>
        <v/>
      </c>
      <c r="F85" s="16" t="str">
        <f aca="false">IF(A85="","",SUMPRODUCT((Completions!A$2:A$5000=A85)*IFERROR(VLOOKUP(Completions!B$2:B$5000,$J$4:$K$18,2,FALSE()),0)))</f>
        <v/>
      </c>
      <c r="G85" s="16" t="str">
        <f aca="false">IF(A85="","",IF(F85&gt;=20,"Gold",IF(F85&gt;=14,"Silver",IF(F85&gt;=8,"Bronze","—"))))</f>
        <v/>
      </c>
      <c r="H85" s="16" t="str">
        <f aca="false">IF(A85="","",IFERROR(TEXT(maxifs(Completions!G:G,Completions!A:A,A85),"yyyy-mm-dd hh:mm"),"—"))</f>
        <v/>
      </c>
    </row>
    <row r="86" customFormat="false" ht="21.75" hidden="false" customHeight="true" outlineLevel="0" collapsed="false">
      <c r="A86" s="17" t="str">
        <f aca="false">IFERROR(IF(Members!A83="","",Members!A83),"")</f>
        <v/>
      </c>
      <c r="B86" s="17" t="str">
        <f aca="false">IFERROR(IF(Members!A83="","",Members!B83),"")</f>
        <v/>
      </c>
      <c r="C86" s="17" t="str">
        <f aca="false">IFERROR(IF(Members!A83="","",Members!C83),"")</f>
        <v/>
      </c>
      <c r="D86" s="17" t="str">
        <f aca="false">IFERROR(IF(Members!A83="","",Members!D83),"")</f>
        <v/>
      </c>
      <c r="E86" s="17" t="str">
        <f aca="false">IF(A86="","",COUNTIF(Completions!A:A,A86))</f>
        <v/>
      </c>
      <c r="F86" s="17" t="str">
        <f aca="false">IF(A86="","",SUMPRODUCT((Completions!A$2:A$5000=A86)*IFERROR(VLOOKUP(Completions!B$2:B$5000,$J$4:$K$18,2,FALSE()),0)))</f>
        <v/>
      </c>
      <c r="G86" s="17" t="str">
        <f aca="false">IF(A86="","",IF(F86&gt;=20,"Gold",IF(F86&gt;=14,"Silver",IF(F86&gt;=8,"Bronze","—"))))</f>
        <v/>
      </c>
      <c r="H86" s="17" t="str">
        <f aca="false">IF(A86="","",IFERROR(TEXT(maxifs(Completions!G:G,Completions!A:A,A86),"yyyy-mm-dd hh:mm"),"—"))</f>
        <v/>
      </c>
    </row>
    <row r="87" customFormat="false" ht="21.75" hidden="false" customHeight="true" outlineLevel="0" collapsed="false">
      <c r="A87" s="16" t="str">
        <f aca="false">IFERROR(IF(Members!A84="","",Members!A84),"")</f>
        <v/>
      </c>
      <c r="B87" s="16" t="str">
        <f aca="false">IFERROR(IF(Members!A84="","",Members!B84),"")</f>
        <v/>
      </c>
      <c r="C87" s="16" t="str">
        <f aca="false">IFERROR(IF(Members!A84="","",Members!C84),"")</f>
        <v/>
      </c>
      <c r="D87" s="16" t="str">
        <f aca="false">IFERROR(IF(Members!A84="","",Members!D84),"")</f>
        <v/>
      </c>
      <c r="E87" s="16" t="str">
        <f aca="false">IF(A87="","",COUNTIF(Completions!A:A,A87))</f>
        <v/>
      </c>
      <c r="F87" s="16" t="str">
        <f aca="false">IF(A87="","",SUMPRODUCT((Completions!A$2:A$5000=A87)*IFERROR(VLOOKUP(Completions!B$2:B$5000,$J$4:$K$18,2,FALSE()),0)))</f>
        <v/>
      </c>
      <c r="G87" s="16" t="str">
        <f aca="false">IF(A87="","",IF(F87&gt;=20,"Gold",IF(F87&gt;=14,"Silver",IF(F87&gt;=8,"Bronze","—"))))</f>
        <v/>
      </c>
      <c r="H87" s="16" t="str">
        <f aca="false">IF(A87="","",IFERROR(TEXT(maxifs(Completions!G:G,Completions!A:A,A87),"yyyy-mm-dd hh:mm"),"—"))</f>
        <v/>
      </c>
    </row>
    <row r="88" customFormat="false" ht="21.75" hidden="false" customHeight="true" outlineLevel="0" collapsed="false">
      <c r="A88" s="17" t="str">
        <f aca="false">IFERROR(IF(Members!A85="","",Members!A85),"")</f>
        <v/>
      </c>
      <c r="B88" s="17" t="str">
        <f aca="false">IFERROR(IF(Members!A85="","",Members!B85),"")</f>
        <v/>
      </c>
      <c r="C88" s="17" t="str">
        <f aca="false">IFERROR(IF(Members!A85="","",Members!C85),"")</f>
        <v/>
      </c>
      <c r="D88" s="17" t="str">
        <f aca="false">IFERROR(IF(Members!A85="","",Members!D85),"")</f>
        <v/>
      </c>
      <c r="E88" s="17" t="str">
        <f aca="false">IF(A88="","",COUNTIF(Completions!A:A,A88))</f>
        <v/>
      </c>
      <c r="F88" s="17" t="str">
        <f aca="false">IF(A88="","",SUMPRODUCT((Completions!A$2:A$5000=A88)*IFERROR(VLOOKUP(Completions!B$2:B$5000,$J$4:$K$18,2,FALSE()),0)))</f>
        <v/>
      </c>
      <c r="G88" s="17" t="str">
        <f aca="false">IF(A88="","",IF(F88&gt;=20,"Gold",IF(F88&gt;=14,"Silver",IF(F88&gt;=8,"Bronze","—"))))</f>
        <v/>
      </c>
      <c r="H88" s="17" t="str">
        <f aca="false">IF(A88="","",IFERROR(TEXT(maxifs(Completions!G:G,Completions!A:A,A88),"yyyy-mm-dd hh:mm"),"—"))</f>
        <v/>
      </c>
    </row>
    <row r="89" customFormat="false" ht="21.75" hidden="false" customHeight="true" outlineLevel="0" collapsed="false">
      <c r="A89" s="16" t="str">
        <f aca="false">IFERROR(IF(Members!A86="","",Members!A86),"")</f>
        <v/>
      </c>
      <c r="B89" s="16" t="str">
        <f aca="false">IFERROR(IF(Members!A86="","",Members!B86),"")</f>
        <v/>
      </c>
      <c r="C89" s="16" t="str">
        <f aca="false">IFERROR(IF(Members!A86="","",Members!C86),"")</f>
        <v/>
      </c>
      <c r="D89" s="16" t="str">
        <f aca="false">IFERROR(IF(Members!A86="","",Members!D86),"")</f>
        <v/>
      </c>
      <c r="E89" s="16" t="str">
        <f aca="false">IF(A89="","",COUNTIF(Completions!A:A,A89))</f>
        <v/>
      </c>
      <c r="F89" s="16" t="str">
        <f aca="false">IF(A89="","",SUMPRODUCT((Completions!A$2:A$5000=A89)*IFERROR(VLOOKUP(Completions!B$2:B$5000,$J$4:$K$18,2,FALSE()),0)))</f>
        <v/>
      </c>
      <c r="G89" s="16" t="str">
        <f aca="false">IF(A89="","",IF(F89&gt;=20,"Gold",IF(F89&gt;=14,"Silver",IF(F89&gt;=8,"Bronze","—"))))</f>
        <v/>
      </c>
      <c r="H89" s="16" t="str">
        <f aca="false">IF(A89="","",IFERROR(TEXT(maxifs(Completions!G:G,Completions!A:A,A89),"yyyy-mm-dd hh:mm"),"—"))</f>
        <v/>
      </c>
    </row>
    <row r="90" customFormat="false" ht="21.75" hidden="false" customHeight="true" outlineLevel="0" collapsed="false">
      <c r="A90" s="17" t="str">
        <f aca="false">IFERROR(IF(Members!A87="","",Members!A87),"")</f>
        <v/>
      </c>
      <c r="B90" s="17" t="str">
        <f aca="false">IFERROR(IF(Members!A87="","",Members!B87),"")</f>
        <v/>
      </c>
      <c r="C90" s="17" t="str">
        <f aca="false">IFERROR(IF(Members!A87="","",Members!C87),"")</f>
        <v/>
      </c>
      <c r="D90" s="17" t="str">
        <f aca="false">IFERROR(IF(Members!A87="","",Members!D87),"")</f>
        <v/>
      </c>
      <c r="E90" s="17" t="str">
        <f aca="false">IF(A90="","",COUNTIF(Completions!A:A,A90))</f>
        <v/>
      </c>
      <c r="F90" s="17" t="str">
        <f aca="false">IF(A90="","",SUMPRODUCT((Completions!A$2:A$5000=A90)*IFERROR(VLOOKUP(Completions!B$2:B$5000,$J$4:$K$18,2,FALSE()),0)))</f>
        <v/>
      </c>
      <c r="G90" s="17" t="str">
        <f aca="false">IF(A90="","",IF(F90&gt;=20,"Gold",IF(F90&gt;=14,"Silver",IF(F90&gt;=8,"Bronze","—"))))</f>
        <v/>
      </c>
      <c r="H90" s="17" t="str">
        <f aca="false">IF(A90="","",IFERROR(TEXT(maxifs(Completions!G:G,Completions!A:A,A90),"yyyy-mm-dd hh:mm"),"—"))</f>
        <v/>
      </c>
    </row>
    <row r="91" customFormat="false" ht="21.75" hidden="false" customHeight="true" outlineLevel="0" collapsed="false">
      <c r="A91" s="16" t="str">
        <f aca="false">IFERROR(IF(Members!A88="","",Members!A88),"")</f>
        <v/>
      </c>
      <c r="B91" s="16" t="str">
        <f aca="false">IFERROR(IF(Members!A88="","",Members!B88),"")</f>
        <v/>
      </c>
      <c r="C91" s="16" t="str">
        <f aca="false">IFERROR(IF(Members!A88="","",Members!C88),"")</f>
        <v/>
      </c>
      <c r="D91" s="16" t="str">
        <f aca="false">IFERROR(IF(Members!A88="","",Members!D88),"")</f>
        <v/>
      </c>
      <c r="E91" s="16" t="str">
        <f aca="false">IF(A91="","",COUNTIF(Completions!A:A,A91))</f>
        <v/>
      </c>
      <c r="F91" s="16" t="str">
        <f aca="false">IF(A91="","",SUMPRODUCT((Completions!A$2:A$5000=A91)*IFERROR(VLOOKUP(Completions!B$2:B$5000,$J$4:$K$18,2,FALSE()),0)))</f>
        <v/>
      </c>
      <c r="G91" s="16" t="str">
        <f aca="false">IF(A91="","",IF(F91&gt;=20,"Gold",IF(F91&gt;=14,"Silver",IF(F91&gt;=8,"Bronze","—"))))</f>
        <v/>
      </c>
      <c r="H91" s="16" t="str">
        <f aca="false">IF(A91="","",IFERROR(TEXT(maxifs(Completions!G:G,Completions!A:A,A91),"yyyy-mm-dd hh:mm"),"—"))</f>
        <v/>
      </c>
    </row>
    <row r="92" customFormat="false" ht="21.75" hidden="false" customHeight="true" outlineLevel="0" collapsed="false">
      <c r="A92" s="17" t="str">
        <f aca="false">IFERROR(IF(Members!A89="","",Members!A89),"")</f>
        <v/>
      </c>
      <c r="B92" s="17" t="str">
        <f aca="false">IFERROR(IF(Members!A89="","",Members!B89),"")</f>
        <v/>
      </c>
      <c r="C92" s="17" t="str">
        <f aca="false">IFERROR(IF(Members!A89="","",Members!C89),"")</f>
        <v/>
      </c>
      <c r="D92" s="17" t="str">
        <f aca="false">IFERROR(IF(Members!A89="","",Members!D89),"")</f>
        <v/>
      </c>
      <c r="E92" s="17" t="str">
        <f aca="false">IF(A92="","",COUNTIF(Completions!A:A,A92))</f>
        <v/>
      </c>
      <c r="F92" s="17" t="str">
        <f aca="false">IF(A92="","",SUMPRODUCT((Completions!A$2:A$5000=A92)*IFERROR(VLOOKUP(Completions!B$2:B$5000,$J$4:$K$18,2,FALSE()),0)))</f>
        <v/>
      </c>
      <c r="G92" s="17" t="str">
        <f aca="false">IF(A92="","",IF(F92&gt;=20,"Gold",IF(F92&gt;=14,"Silver",IF(F92&gt;=8,"Bronze","—"))))</f>
        <v/>
      </c>
      <c r="H92" s="17" t="str">
        <f aca="false">IF(A92="","",IFERROR(TEXT(maxifs(Completions!G:G,Completions!A:A,A92),"yyyy-mm-dd hh:mm"),"—"))</f>
        <v/>
      </c>
    </row>
    <row r="93" customFormat="false" ht="21.75" hidden="false" customHeight="true" outlineLevel="0" collapsed="false">
      <c r="A93" s="16" t="str">
        <f aca="false">IFERROR(IF(Members!A90="","",Members!A90),"")</f>
        <v/>
      </c>
      <c r="B93" s="16" t="str">
        <f aca="false">IFERROR(IF(Members!A90="","",Members!B90),"")</f>
        <v/>
      </c>
      <c r="C93" s="16" t="str">
        <f aca="false">IFERROR(IF(Members!A90="","",Members!C90),"")</f>
        <v/>
      </c>
      <c r="D93" s="16" t="str">
        <f aca="false">IFERROR(IF(Members!A90="","",Members!D90),"")</f>
        <v/>
      </c>
      <c r="E93" s="16" t="str">
        <f aca="false">IF(A93="","",COUNTIF(Completions!A:A,A93))</f>
        <v/>
      </c>
      <c r="F93" s="16" t="str">
        <f aca="false">IF(A93="","",SUMPRODUCT((Completions!A$2:A$5000=A93)*IFERROR(VLOOKUP(Completions!B$2:B$5000,$J$4:$K$18,2,FALSE()),0)))</f>
        <v/>
      </c>
      <c r="G93" s="16" t="str">
        <f aca="false">IF(A93="","",IF(F93&gt;=20,"Gold",IF(F93&gt;=14,"Silver",IF(F93&gt;=8,"Bronze","—"))))</f>
        <v/>
      </c>
      <c r="H93" s="16" t="str">
        <f aca="false">IF(A93="","",IFERROR(TEXT(maxifs(Completions!G:G,Completions!A:A,A93),"yyyy-mm-dd hh:mm"),"—"))</f>
        <v/>
      </c>
    </row>
    <row r="94" customFormat="false" ht="21.75" hidden="false" customHeight="true" outlineLevel="0" collapsed="false">
      <c r="A94" s="17" t="str">
        <f aca="false">IFERROR(IF(Members!A91="","",Members!A91),"")</f>
        <v/>
      </c>
      <c r="B94" s="17" t="str">
        <f aca="false">IFERROR(IF(Members!A91="","",Members!B91),"")</f>
        <v/>
      </c>
      <c r="C94" s="17" t="str">
        <f aca="false">IFERROR(IF(Members!A91="","",Members!C91),"")</f>
        <v/>
      </c>
      <c r="D94" s="17" t="str">
        <f aca="false">IFERROR(IF(Members!A91="","",Members!D91),"")</f>
        <v/>
      </c>
      <c r="E94" s="17" t="str">
        <f aca="false">IF(A94="","",COUNTIF(Completions!A:A,A94))</f>
        <v/>
      </c>
      <c r="F94" s="17" t="str">
        <f aca="false">IF(A94="","",SUMPRODUCT((Completions!A$2:A$5000=A94)*IFERROR(VLOOKUP(Completions!B$2:B$5000,$J$4:$K$18,2,FALSE()),0)))</f>
        <v/>
      </c>
      <c r="G94" s="17" t="str">
        <f aca="false">IF(A94="","",IF(F94&gt;=20,"Gold",IF(F94&gt;=14,"Silver",IF(F94&gt;=8,"Bronze","—"))))</f>
        <v/>
      </c>
      <c r="H94" s="17" t="str">
        <f aca="false">IF(A94="","",IFERROR(TEXT(maxifs(Completions!G:G,Completions!A:A,A94),"yyyy-mm-dd hh:mm"),"—"))</f>
        <v/>
      </c>
    </row>
    <row r="95" customFormat="false" ht="21.75" hidden="false" customHeight="true" outlineLevel="0" collapsed="false">
      <c r="A95" s="16" t="str">
        <f aca="false">IFERROR(IF(Members!A92="","",Members!A92),"")</f>
        <v/>
      </c>
      <c r="B95" s="16" t="str">
        <f aca="false">IFERROR(IF(Members!A92="","",Members!B92),"")</f>
        <v/>
      </c>
      <c r="C95" s="16" t="str">
        <f aca="false">IFERROR(IF(Members!A92="","",Members!C92),"")</f>
        <v/>
      </c>
      <c r="D95" s="16" t="str">
        <f aca="false">IFERROR(IF(Members!A92="","",Members!D92),"")</f>
        <v/>
      </c>
      <c r="E95" s="16" t="str">
        <f aca="false">IF(A95="","",COUNTIF(Completions!A:A,A95))</f>
        <v/>
      </c>
      <c r="F95" s="16" t="str">
        <f aca="false">IF(A95="","",SUMPRODUCT((Completions!A$2:A$5000=A95)*IFERROR(VLOOKUP(Completions!B$2:B$5000,$J$4:$K$18,2,FALSE()),0)))</f>
        <v/>
      </c>
      <c r="G95" s="16" t="str">
        <f aca="false">IF(A95="","",IF(F95&gt;=20,"Gold",IF(F95&gt;=14,"Silver",IF(F95&gt;=8,"Bronze","—"))))</f>
        <v/>
      </c>
      <c r="H95" s="16" t="str">
        <f aca="false">IF(A95="","",IFERROR(TEXT(maxifs(Completions!G:G,Completions!A:A,A95),"yyyy-mm-dd hh:mm"),"—"))</f>
        <v/>
      </c>
    </row>
    <row r="96" customFormat="false" ht="21.75" hidden="false" customHeight="true" outlineLevel="0" collapsed="false">
      <c r="A96" s="17" t="str">
        <f aca="false">IFERROR(IF(Members!A93="","",Members!A93),"")</f>
        <v/>
      </c>
      <c r="B96" s="17" t="str">
        <f aca="false">IFERROR(IF(Members!A93="","",Members!B93),"")</f>
        <v/>
      </c>
      <c r="C96" s="17" t="str">
        <f aca="false">IFERROR(IF(Members!A93="","",Members!C93),"")</f>
        <v/>
      </c>
      <c r="D96" s="17" t="str">
        <f aca="false">IFERROR(IF(Members!A93="","",Members!D93),"")</f>
        <v/>
      </c>
      <c r="E96" s="17" t="str">
        <f aca="false">IF(A96="","",COUNTIF(Completions!A:A,A96))</f>
        <v/>
      </c>
      <c r="F96" s="17" t="str">
        <f aca="false">IF(A96="","",SUMPRODUCT((Completions!A$2:A$5000=A96)*IFERROR(VLOOKUP(Completions!B$2:B$5000,$J$4:$K$18,2,FALSE()),0)))</f>
        <v/>
      </c>
      <c r="G96" s="17" t="str">
        <f aca="false">IF(A96="","",IF(F96&gt;=20,"Gold",IF(F96&gt;=14,"Silver",IF(F96&gt;=8,"Bronze","—"))))</f>
        <v/>
      </c>
      <c r="H96" s="17" t="str">
        <f aca="false">IF(A96="","",IFERROR(TEXT(maxifs(Completions!G:G,Completions!A:A,A96),"yyyy-mm-dd hh:mm"),"—"))</f>
        <v/>
      </c>
    </row>
    <row r="97" customFormat="false" ht="21.75" hidden="false" customHeight="true" outlineLevel="0" collapsed="false">
      <c r="A97" s="16" t="str">
        <f aca="false">IFERROR(IF(Members!A94="","",Members!A94),"")</f>
        <v/>
      </c>
      <c r="B97" s="16" t="str">
        <f aca="false">IFERROR(IF(Members!A94="","",Members!B94),"")</f>
        <v/>
      </c>
      <c r="C97" s="16" t="str">
        <f aca="false">IFERROR(IF(Members!A94="","",Members!C94),"")</f>
        <v/>
      </c>
      <c r="D97" s="16" t="str">
        <f aca="false">IFERROR(IF(Members!A94="","",Members!D94),"")</f>
        <v/>
      </c>
      <c r="E97" s="16" t="str">
        <f aca="false">IF(A97="","",COUNTIF(Completions!A:A,A97))</f>
        <v/>
      </c>
      <c r="F97" s="16" t="str">
        <f aca="false">IF(A97="","",SUMPRODUCT((Completions!A$2:A$5000=A97)*IFERROR(VLOOKUP(Completions!B$2:B$5000,$J$4:$K$18,2,FALSE()),0)))</f>
        <v/>
      </c>
      <c r="G97" s="16" t="str">
        <f aca="false">IF(A97="","",IF(F97&gt;=20,"Gold",IF(F97&gt;=14,"Silver",IF(F97&gt;=8,"Bronze","—"))))</f>
        <v/>
      </c>
      <c r="H97" s="16" t="str">
        <f aca="false">IF(A97="","",IFERROR(TEXT(maxifs(Completions!G:G,Completions!A:A,A97),"yyyy-mm-dd hh:mm"),"—"))</f>
        <v/>
      </c>
    </row>
    <row r="98" customFormat="false" ht="21.75" hidden="false" customHeight="true" outlineLevel="0" collapsed="false">
      <c r="A98" s="17" t="str">
        <f aca="false">IFERROR(IF(Members!A95="","",Members!A95),"")</f>
        <v/>
      </c>
      <c r="B98" s="17" t="str">
        <f aca="false">IFERROR(IF(Members!A95="","",Members!B95),"")</f>
        <v/>
      </c>
      <c r="C98" s="17" t="str">
        <f aca="false">IFERROR(IF(Members!A95="","",Members!C95),"")</f>
        <v/>
      </c>
      <c r="D98" s="17" t="str">
        <f aca="false">IFERROR(IF(Members!A95="","",Members!D95),"")</f>
        <v/>
      </c>
      <c r="E98" s="17" t="str">
        <f aca="false">IF(A98="","",COUNTIF(Completions!A:A,A98))</f>
        <v/>
      </c>
      <c r="F98" s="17" t="str">
        <f aca="false">IF(A98="","",SUMPRODUCT((Completions!A$2:A$5000=A98)*IFERROR(VLOOKUP(Completions!B$2:B$5000,$J$4:$K$18,2,FALSE()),0)))</f>
        <v/>
      </c>
      <c r="G98" s="17" t="str">
        <f aca="false">IF(A98="","",IF(F98&gt;=20,"Gold",IF(F98&gt;=14,"Silver",IF(F98&gt;=8,"Bronze","—"))))</f>
        <v/>
      </c>
      <c r="H98" s="17" t="str">
        <f aca="false">IF(A98="","",IFERROR(TEXT(maxifs(Completions!G:G,Completions!A:A,A98),"yyyy-mm-dd hh:mm"),"—"))</f>
        <v/>
      </c>
    </row>
    <row r="99" customFormat="false" ht="21.75" hidden="false" customHeight="true" outlineLevel="0" collapsed="false">
      <c r="A99" s="16" t="str">
        <f aca="false">IFERROR(IF(Members!A96="","",Members!A96),"")</f>
        <v/>
      </c>
      <c r="B99" s="16" t="str">
        <f aca="false">IFERROR(IF(Members!A96="","",Members!B96),"")</f>
        <v/>
      </c>
      <c r="C99" s="16" t="str">
        <f aca="false">IFERROR(IF(Members!A96="","",Members!C96),"")</f>
        <v/>
      </c>
      <c r="D99" s="16" t="str">
        <f aca="false">IFERROR(IF(Members!A96="","",Members!D96),"")</f>
        <v/>
      </c>
      <c r="E99" s="16" t="str">
        <f aca="false">IF(A99="","",COUNTIF(Completions!A:A,A99))</f>
        <v/>
      </c>
      <c r="F99" s="16" t="str">
        <f aca="false">IF(A99="","",SUMPRODUCT((Completions!A$2:A$5000=A99)*IFERROR(VLOOKUP(Completions!B$2:B$5000,$J$4:$K$18,2,FALSE()),0)))</f>
        <v/>
      </c>
      <c r="G99" s="16" t="str">
        <f aca="false">IF(A99="","",IF(F99&gt;=20,"Gold",IF(F99&gt;=14,"Silver",IF(F99&gt;=8,"Bronze","—"))))</f>
        <v/>
      </c>
      <c r="H99" s="16" t="str">
        <f aca="false">IF(A99="","",IFERROR(TEXT(maxifs(Completions!G:G,Completions!A:A,A99),"yyyy-mm-dd hh:mm"),"—"))</f>
        <v/>
      </c>
    </row>
    <row r="100" customFormat="false" ht="21.75" hidden="false" customHeight="true" outlineLevel="0" collapsed="false">
      <c r="A100" s="17" t="str">
        <f aca="false">IFERROR(IF(Members!A97="","",Members!A97),"")</f>
        <v/>
      </c>
      <c r="B100" s="17" t="str">
        <f aca="false">IFERROR(IF(Members!A97="","",Members!B97),"")</f>
        <v/>
      </c>
      <c r="C100" s="17" t="str">
        <f aca="false">IFERROR(IF(Members!A97="","",Members!C97),"")</f>
        <v/>
      </c>
      <c r="D100" s="17" t="str">
        <f aca="false">IFERROR(IF(Members!A97="","",Members!D97),"")</f>
        <v/>
      </c>
      <c r="E100" s="17" t="str">
        <f aca="false">IF(A100="","",COUNTIF(Completions!A:A,A100))</f>
        <v/>
      </c>
      <c r="F100" s="17" t="str">
        <f aca="false">IF(A100="","",SUMPRODUCT((Completions!A$2:A$5000=A100)*IFERROR(VLOOKUP(Completions!B$2:B$5000,$J$4:$K$18,2,FALSE()),0)))</f>
        <v/>
      </c>
      <c r="G100" s="17" t="str">
        <f aca="false">IF(A100="","",IF(F100&gt;=20,"Gold",IF(F100&gt;=14,"Silver",IF(F100&gt;=8,"Bronze","—"))))</f>
        <v/>
      </c>
      <c r="H100" s="17" t="str">
        <f aca="false">IF(A100="","",IFERROR(TEXT(maxifs(Completions!G:G,Completions!A:A,A100),"yyyy-mm-dd hh:mm"),"—"))</f>
        <v/>
      </c>
    </row>
    <row r="101" customFormat="false" ht="21.75" hidden="false" customHeight="true" outlineLevel="0" collapsed="false">
      <c r="A101" s="16" t="str">
        <f aca="false">IFERROR(IF(Members!A98="","",Members!A98),"")</f>
        <v/>
      </c>
      <c r="B101" s="16" t="str">
        <f aca="false">IFERROR(IF(Members!A98="","",Members!B98),"")</f>
        <v/>
      </c>
      <c r="C101" s="16" t="str">
        <f aca="false">IFERROR(IF(Members!A98="","",Members!C98),"")</f>
        <v/>
      </c>
      <c r="D101" s="16" t="str">
        <f aca="false">IFERROR(IF(Members!A98="","",Members!D98),"")</f>
        <v/>
      </c>
      <c r="E101" s="16" t="str">
        <f aca="false">IF(A101="","",COUNTIF(Completions!A:A,A101))</f>
        <v/>
      </c>
      <c r="F101" s="16" t="str">
        <f aca="false">IF(A101="","",SUMPRODUCT((Completions!A$2:A$5000=A101)*IFERROR(VLOOKUP(Completions!B$2:B$5000,$J$4:$K$18,2,FALSE()),0)))</f>
        <v/>
      </c>
      <c r="G101" s="16" t="str">
        <f aca="false">IF(A101="","",IF(F101&gt;=20,"Gold",IF(F101&gt;=14,"Silver",IF(F101&gt;=8,"Bronze","—"))))</f>
        <v/>
      </c>
      <c r="H101" s="16" t="str">
        <f aca="false">IF(A101="","",IFERROR(TEXT(maxifs(Completions!G:G,Completions!A:A,A101),"yyyy-mm-dd hh:mm"),"—"))</f>
        <v/>
      </c>
    </row>
    <row r="102" customFormat="false" ht="21.75" hidden="false" customHeight="true" outlineLevel="0" collapsed="false">
      <c r="A102" s="17" t="str">
        <f aca="false">IFERROR(IF(Members!A99="","",Members!A99),"")</f>
        <v/>
      </c>
      <c r="B102" s="17" t="str">
        <f aca="false">IFERROR(IF(Members!A99="","",Members!B99),"")</f>
        <v/>
      </c>
      <c r="C102" s="17" t="str">
        <f aca="false">IFERROR(IF(Members!A99="","",Members!C99),"")</f>
        <v/>
      </c>
      <c r="D102" s="17" t="str">
        <f aca="false">IFERROR(IF(Members!A99="","",Members!D99),"")</f>
        <v/>
      </c>
      <c r="E102" s="17" t="str">
        <f aca="false">IF(A102="","",COUNTIF(Completions!A:A,A102))</f>
        <v/>
      </c>
      <c r="F102" s="17" t="str">
        <f aca="false">IF(A102="","",SUMPRODUCT((Completions!A$2:A$5000=A102)*IFERROR(VLOOKUP(Completions!B$2:B$5000,$J$4:$K$18,2,FALSE()),0)))</f>
        <v/>
      </c>
      <c r="G102" s="17" t="str">
        <f aca="false">IF(A102="","",IF(F102&gt;=20,"Gold",IF(F102&gt;=14,"Silver",IF(F102&gt;=8,"Bronze","—"))))</f>
        <v/>
      </c>
      <c r="H102" s="17" t="str">
        <f aca="false">IF(A102="","",IFERROR(TEXT(maxifs(Completions!G:G,Completions!A:A,A102),"yyyy-mm-dd hh:mm"),"—"))</f>
        <v/>
      </c>
    </row>
    <row r="103" customFormat="false" ht="21.75" hidden="false" customHeight="true" outlineLevel="0" collapsed="false">
      <c r="A103" s="16" t="str">
        <f aca="false">IFERROR(IF(Members!A100="","",Members!A100),"")</f>
        <v/>
      </c>
      <c r="B103" s="16" t="str">
        <f aca="false">IFERROR(IF(Members!A100="","",Members!B100),"")</f>
        <v/>
      </c>
      <c r="C103" s="16" t="str">
        <f aca="false">IFERROR(IF(Members!A100="","",Members!C100),"")</f>
        <v/>
      </c>
      <c r="D103" s="16" t="str">
        <f aca="false">IFERROR(IF(Members!A100="","",Members!D100),"")</f>
        <v/>
      </c>
      <c r="E103" s="16" t="str">
        <f aca="false">IF(A103="","",COUNTIF(Completions!A:A,A103))</f>
        <v/>
      </c>
      <c r="F103" s="16" t="str">
        <f aca="false">IF(A103="","",SUMPRODUCT((Completions!A$2:A$5000=A103)*IFERROR(VLOOKUP(Completions!B$2:B$5000,$J$4:$K$18,2,FALSE()),0)))</f>
        <v/>
      </c>
      <c r="G103" s="16" t="str">
        <f aca="false">IF(A103="","",IF(F103&gt;=20,"Gold",IF(F103&gt;=14,"Silver",IF(F103&gt;=8,"Bronze","—"))))</f>
        <v/>
      </c>
      <c r="H103" s="16" t="str">
        <f aca="false">IF(A103="","",IFERROR(TEXT(maxifs(Completions!G:G,Completions!A:A,A103),"yyyy-mm-dd hh:mm"),"—"))</f>
        <v/>
      </c>
    </row>
    <row r="104" customFormat="false" ht="21.75" hidden="false" customHeight="true" outlineLevel="0" collapsed="false">
      <c r="A104" s="17" t="str">
        <f aca="false">IFERROR(IF(Members!A101="","",Members!A101),"")</f>
        <v/>
      </c>
      <c r="B104" s="17" t="str">
        <f aca="false">IFERROR(IF(Members!A101="","",Members!B101),"")</f>
        <v/>
      </c>
      <c r="C104" s="17" t="str">
        <f aca="false">IFERROR(IF(Members!A101="","",Members!C101),"")</f>
        <v/>
      </c>
      <c r="D104" s="17" t="str">
        <f aca="false">IFERROR(IF(Members!A101="","",Members!D101),"")</f>
        <v/>
      </c>
      <c r="E104" s="17" t="str">
        <f aca="false">IF(A104="","",COUNTIF(Completions!A:A,A104))</f>
        <v/>
      </c>
      <c r="F104" s="17" t="str">
        <f aca="false">IF(A104="","",SUMPRODUCT((Completions!A$2:A$5000=A104)*IFERROR(VLOOKUP(Completions!B$2:B$5000,$J$4:$K$18,2,FALSE()),0)))</f>
        <v/>
      </c>
      <c r="G104" s="17" t="str">
        <f aca="false">IF(A104="","",IF(F104&gt;=20,"Gold",IF(F104&gt;=14,"Silver",IF(F104&gt;=8,"Bronze","—"))))</f>
        <v/>
      </c>
      <c r="H104" s="17" t="str">
        <f aca="false">IF(A104="","",IFERROR(TEXT(maxifs(Completions!G:G,Completions!A:A,A104),"yyyy-mm-dd hh:mm"),"—"))</f>
        <v/>
      </c>
    </row>
    <row r="105" customFormat="false" ht="21.75" hidden="false" customHeight="true" outlineLevel="0" collapsed="false">
      <c r="A105" s="16" t="str">
        <f aca="false">IFERROR(IF(Members!A102="","",Members!A102),"")</f>
        <v/>
      </c>
      <c r="B105" s="16" t="str">
        <f aca="false">IFERROR(IF(Members!A102="","",Members!B102),"")</f>
        <v/>
      </c>
      <c r="C105" s="16" t="str">
        <f aca="false">IFERROR(IF(Members!A102="","",Members!C102),"")</f>
        <v/>
      </c>
      <c r="D105" s="16" t="str">
        <f aca="false">IFERROR(IF(Members!A102="","",Members!D102),"")</f>
        <v/>
      </c>
      <c r="E105" s="16" t="str">
        <f aca="false">IF(A105="","",COUNTIF(Completions!A:A,A105))</f>
        <v/>
      </c>
      <c r="F105" s="16" t="str">
        <f aca="false">IF(A105="","",SUMPRODUCT((Completions!A$2:A$5000=A105)*IFERROR(VLOOKUP(Completions!B$2:B$5000,$J$4:$K$18,2,FALSE()),0)))</f>
        <v/>
      </c>
      <c r="G105" s="16" t="str">
        <f aca="false">IF(A105="","",IF(F105&gt;=20,"Gold",IF(F105&gt;=14,"Silver",IF(F105&gt;=8,"Bronze","—"))))</f>
        <v/>
      </c>
      <c r="H105" s="16" t="str">
        <f aca="false">IF(A105="","",IFERROR(TEXT(maxifs(Completions!G:G,Completions!A:A,A105),"yyyy-mm-dd hh:mm"),"—"))</f>
        <v/>
      </c>
    </row>
    <row r="106" customFormat="false" ht="21.75" hidden="false" customHeight="true" outlineLevel="0" collapsed="false">
      <c r="A106" s="17" t="str">
        <f aca="false">IFERROR(IF(Members!A103="","",Members!A103),"")</f>
        <v/>
      </c>
      <c r="B106" s="17" t="str">
        <f aca="false">IFERROR(IF(Members!A103="","",Members!B103),"")</f>
        <v/>
      </c>
      <c r="C106" s="17" t="str">
        <f aca="false">IFERROR(IF(Members!A103="","",Members!C103),"")</f>
        <v/>
      </c>
      <c r="D106" s="17" t="str">
        <f aca="false">IFERROR(IF(Members!A103="","",Members!D103),"")</f>
        <v/>
      </c>
      <c r="E106" s="17" t="str">
        <f aca="false">IF(A106="","",COUNTIF(Completions!A:A,A106))</f>
        <v/>
      </c>
      <c r="F106" s="17" t="str">
        <f aca="false">IF(A106="","",SUMPRODUCT((Completions!A$2:A$5000=A106)*IFERROR(VLOOKUP(Completions!B$2:B$5000,$J$4:$K$18,2,FALSE()),0)))</f>
        <v/>
      </c>
      <c r="G106" s="17" t="str">
        <f aca="false">IF(A106="","",IF(F106&gt;=20,"Gold",IF(F106&gt;=14,"Silver",IF(F106&gt;=8,"Bronze","—"))))</f>
        <v/>
      </c>
      <c r="H106" s="17" t="str">
        <f aca="false">IF(A106="","",IFERROR(TEXT(maxifs(Completions!G:G,Completions!A:A,A106),"yyyy-mm-dd hh:mm"),"—"))</f>
        <v/>
      </c>
    </row>
    <row r="107" customFormat="false" ht="21.75" hidden="false" customHeight="true" outlineLevel="0" collapsed="false">
      <c r="A107" s="16" t="str">
        <f aca="false">IFERROR(IF(Members!A104="","",Members!A104),"")</f>
        <v/>
      </c>
      <c r="B107" s="16" t="str">
        <f aca="false">IFERROR(IF(Members!A104="","",Members!B104),"")</f>
        <v/>
      </c>
      <c r="C107" s="16" t="str">
        <f aca="false">IFERROR(IF(Members!A104="","",Members!C104),"")</f>
        <v/>
      </c>
      <c r="D107" s="16" t="str">
        <f aca="false">IFERROR(IF(Members!A104="","",Members!D104),"")</f>
        <v/>
      </c>
      <c r="E107" s="16" t="str">
        <f aca="false">IF(A107="","",COUNTIF(Completions!A:A,A107))</f>
        <v/>
      </c>
      <c r="F107" s="16" t="str">
        <f aca="false">IF(A107="","",SUMPRODUCT((Completions!A$2:A$5000=A107)*IFERROR(VLOOKUP(Completions!B$2:B$5000,$J$4:$K$18,2,FALSE()),0)))</f>
        <v/>
      </c>
      <c r="G107" s="16" t="str">
        <f aca="false">IF(A107="","",IF(F107&gt;=20,"Gold",IF(F107&gt;=14,"Silver",IF(F107&gt;=8,"Bronze","—"))))</f>
        <v/>
      </c>
      <c r="H107" s="16" t="str">
        <f aca="false">IF(A107="","",IFERROR(TEXT(maxifs(Completions!G:G,Completions!A:A,A107),"yyyy-mm-dd hh:mm"),"—"))</f>
        <v/>
      </c>
    </row>
    <row r="108" customFormat="false" ht="21.75" hidden="false" customHeight="true" outlineLevel="0" collapsed="false">
      <c r="A108" s="17" t="str">
        <f aca="false">IFERROR(IF(Members!A105="","",Members!A105),"")</f>
        <v/>
      </c>
      <c r="B108" s="17" t="str">
        <f aca="false">IFERROR(IF(Members!A105="","",Members!B105),"")</f>
        <v/>
      </c>
      <c r="C108" s="17" t="str">
        <f aca="false">IFERROR(IF(Members!A105="","",Members!C105),"")</f>
        <v/>
      </c>
      <c r="D108" s="17" t="str">
        <f aca="false">IFERROR(IF(Members!A105="","",Members!D105),"")</f>
        <v/>
      </c>
      <c r="E108" s="17" t="str">
        <f aca="false">IF(A108="","",COUNTIF(Completions!A:A,A108))</f>
        <v/>
      </c>
      <c r="F108" s="17" t="str">
        <f aca="false">IF(A108="","",SUMPRODUCT((Completions!A$2:A$5000=A108)*IFERROR(VLOOKUP(Completions!B$2:B$5000,$J$4:$K$18,2,FALSE()),0)))</f>
        <v/>
      </c>
      <c r="G108" s="17" t="str">
        <f aca="false">IF(A108="","",IF(F108&gt;=20,"Gold",IF(F108&gt;=14,"Silver",IF(F108&gt;=8,"Bronze","—"))))</f>
        <v/>
      </c>
      <c r="H108" s="17" t="str">
        <f aca="false">IF(A108="","",IFERROR(TEXT(maxifs(Completions!G:G,Completions!A:A,A108),"yyyy-mm-dd hh:mm"),"—"))</f>
        <v/>
      </c>
    </row>
    <row r="109" customFormat="false" ht="21.75" hidden="false" customHeight="true" outlineLevel="0" collapsed="false">
      <c r="A109" s="16" t="str">
        <f aca="false">IFERROR(IF(Members!A106="","",Members!A106),"")</f>
        <v/>
      </c>
      <c r="B109" s="16" t="str">
        <f aca="false">IFERROR(IF(Members!A106="","",Members!B106),"")</f>
        <v/>
      </c>
      <c r="C109" s="16" t="str">
        <f aca="false">IFERROR(IF(Members!A106="","",Members!C106),"")</f>
        <v/>
      </c>
      <c r="D109" s="16" t="str">
        <f aca="false">IFERROR(IF(Members!A106="","",Members!D106),"")</f>
        <v/>
      </c>
      <c r="E109" s="16" t="str">
        <f aca="false">IF(A109="","",COUNTIF(Completions!A:A,A109))</f>
        <v/>
      </c>
      <c r="F109" s="16" t="str">
        <f aca="false">IF(A109="","",SUMPRODUCT((Completions!A$2:A$5000=A109)*IFERROR(VLOOKUP(Completions!B$2:B$5000,$J$4:$K$18,2,FALSE()),0)))</f>
        <v/>
      </c>
      <c r="G109" s="16" t="str">
        <f aca="false">IF(A109="","",IF(F109&gt;=20,"Gold",IF(F109&gt;=14,"Silver",IF(F109&gt;=8,"Bronze","—"))))</f>
        <v/>
      </c>
      <c r="H109" s="16" t="str">
        <f aca="false">IF(A109="","",IFERROR(TEXT(maxifs(Completions!G:G,Completions!A:A,A109),"yyyy-mm-dd hh:mm"),"—"))</f>
        <v/>
      </c>
    </row>
    <row r="110" customFormat="false" ht="21.75" hidden="false" customHeight="true" outlineLevel="0" collapsed="false">
      <c r="A110" s="17" t="str">
        <f aca="false">IFERROR(IF(Members!A107="","",Members!A107),"")</f>
        <v/>
      </c>
      <c r="B110" s="17" t="str">
        <f aca="false">IFERROR(IF(Members!A107="","",Members!B107),"")</f>
        <v/>
      </c>
      <c r="C110" s="17" t="str">
        <f aca="false">IFERROR(IF(Members!A107="","",Members!C107),"")</f>
        <v/>
      </c>
      <c r="D110" s="17" t="str">
        <f aca="false">IFERROR(IF(Members!A107="","",Members!D107),"")</f>
        <v/>
      </c>
      <c r="E110" s="17" t="str">
        <f aca="false">IF(A110="","",COUNTIF(Completions!A:A,A110))</f>
        <v/>
      </c>
      <c r="F110" s="17" t="str">
        <f aca="false">IF(A110="","",SUMPRODUCT((Completions!A$2:A$5000=A110)*IFERROR(VLOOKUP(Completions!B$2:B$5000,$J$4:$K$18,2,FALSE()),0)))</f>
        <v/>
      </c>
      <c r="G110" s="17" t="str">
        <f aca="false">IF(A110="","",IF(F110&gt;=20,"Gold",IF(F110&gt;=14,"Silver",IF(F110&gt;=8,"Bronze","—"))))</f>
        <v/>
      </c>
      <c r="H110" s="17" t="str">
        <f aca="false">IF(A110="","",IFERROR(TEXT(maxifs(Completions!G:G,Completions!A:A,A110),"yyyy-mm-dd hh:mm"),"—"))</f>
        <v/>
      </c>
    </row>
    <row r="111" customFormat="false" ht="21.75" hidden="false" customHeight="true" outlineLevel="0" collapsed="false">
      <c r="A111" s="16" t="str">
        <f aca="false">IFERROR(IF(Members!A108="","",Members!A108),"")</f>
        <v/>
      </c>
      <c r="B111" s="16" t="str">
        <f aca="false">IFERROR(IF(Members!A108="","",Members!B108),"")</f>
        <v/>
      </c>
      <c r="C111" s="16" t="str">
        <f aca="false">IFERROR(IF(Members!A108="","",Members!C108),"")</f>
        <v/>
      </c>
      <c r="D111" s="16" t="str">
        <f aca="false">IFERROR(IF(Members!A108="","",Members!D108),"")</f>
        <v/>
      </c>
      <c r="E111" s="16" t="str">
        <f aca="false">IF(A111="","",COUNTIF(Completions!A:A,A111))</f>
        <v/>
      </c>
      <c r="F111" s="16" t="str">
        <f aca="false">IF(A111="","",SUMPRODUCT((Completions!A$2:A$5000=A111)*IFERROR(VLOOKUP(Completions!B$2:B$5000,$J$4:$K$18,2,FALSE()),0)))</f>
        <v/>
      </c>
      <c r="G111" s="16" t="str">
        <f aca="false">IF(A111="","",IF(F111&gt;=20,"Gold",IF(F111&gt;=14,"Silver",IF(F111&gt;=8,"Bronze","—"))))</f>
        <v/>
      </c>
      <c r="H111" s="16" t="str">
        <f aca="false">IF(A111="","",IFERROR(TEXT(maxifs(Completions!G:G,Completions!A:A,A111),"yyyy-mm-dd hh:mm"),"—"))</f>
        <v/>
      </c>
    </row>
    <row r="112" customFormat="false" ht="21.75" hidden="false" customHeight="true" outlineLevel="0" collapsed="false">
      <c r="A112" s="17" t="str">
        <f aca="false">IFERROR(IF(Members!A109="","",Members!A109),"")</f>
        <v/>
      </c>
      <c r="B112" s="17" t="str">
        <f aca="false">IFERROR(IF(Members!A109="","",Members!B109),"")</f>
        <v/>
      </c>
      <c r="C112" s="17" t="str">
        <f aca="false">IFERROR(IF(Members!A109="","",Members!C109),"")</f>
        <v/>
      </c>
      <c r="D112" s="17" t="str">
        <f aca="false">IFERROR(IF(Members!A109="","",Members!D109),"")</f>
        <v/>
      </c>
      <c r="E112" s="17" t="str">
        <f aca="false">IF(A112="","",COUNTIF(Completions!A:A,A112))</f>
        <v/>
      </c>
      <c r="F112" s="17" t="str">
        <f aca="false">IF(A112="","",SUMPRODUCT((Completions!A$2:A$5000=A112)*IFERROR(VLOOKUP(Completions!B$2:B$5000,$J$4:$K$18,2,FALSE()),0)))</f>
        <v/>
      </c>
      <c r="G112" s="17" t="str">
        <f aca="false">IF(A112="","",IF(F112&gt;=20,"Gold",IF(F112&gt;=14,"Silver",IF(F112&gt;=8,"Bronze","—"))))</f>
        <v/>
      </c>
      <c r="H112" s="17" t="str">
        <f aca="false">IF(A112="","",IFERROR(TEXT(maxifs(Completions!G:G,Completions!A:A,A112),"yyyy-mm-dd hh:mm"),"—"))</f>
        <v/>
      </c>
    </row>
    <row r="113" customFormat="false" ht="21.75" hidden="false" customHeight="true" outlineLevel="0" collapsed="false">
      <c r="A113" s="16" t="str">
        <f aca="false">IFERROR(IF(Members!A110="","",Members!A110),"")</f>
        <v/>
      </c>
      <c r="B113" s="16" t="str">
        <f aca="false">IFERROR(IF(Members!A110="","",Members!B110),"")</f>
        <v/>
      </c>
      <c r="C113" s="16" t="str">
        <f aca="false">IFERROR(IF(Members!A110="","",Members!C110),"")</f>
        <v/>
      </c>
      <c r="D113" s="16" t="str">
        <f aca="false">IFERROR(IF(Members!A110="","",Members!D110),"")</f>
        <v/>
      </c>
      <c r="E113" s="16" t="str">
        <f aca="false">IF(A113="","",COUNTIF(Completions!A:A,A113))</f>
        <v/>
      </c>
      <c r="F113" s="16" t="str">
        <f aca="false">IF(A113="","",SUMPRODUCT((Completions!A$2:A$5000=A113)*IFERROR(VLOOKUP(Completions!B$2:B$5000,$J$4:$K$18,2,FALSE()),0)))</f>
        <v/>
      </c>
      <c r="G113" s="16" t="str">
        <f aca="false">IF(A113="","",IF(F113&gt;=20,"Gold",IF(F113&gt;=14,"Silver",IF(F113&gt;=8,"Bronze","—"))))</f>
        <v/>
      </c>
      <c r="H113" s="16" t="str">
        <f aca="false">IF(A113="","",IFERROR(TEXT(maxifs(Completions!G:G,Completions!A:A,A113),"yyyy-mm-dd hh:mm"),"—"))</f>
        <v/>
      </c>
    </row>
    <row r="114" customFormat="false" ht="21.75" hidden="false" customHeight="true" outlineLevel="0" collapsed="false">
      <c r="A114" s="17" t="str">
        <f aca="false">IFERROR(IF(Members!A111="","",Members!A111),"")</f>
        <v/>
      </c>
      <c r="B114" s="17" t="str">
        <f aca="false">IFERROR(IF(Members!A111="","",Members!B111),"")</f>
        <v/>
      </c>
      <c r="C114" s="17" t="str">
        <f aca="false">IFERROR(IF(Members!A111="","",Members!C111),"")</f>
        <v/>
      </c>
      <c r="D114" s="17" t="str">
        <f aca="false">IFERROR(IF(Members!A111="","",Members!D111),"")</f>
        <v/>
      </c>
      <c r="E114" s="17" t="str">
        <f aca="false">IF(A114="","",COUNTIF(Completions!A:A,A114))</f>
        <v/>
      </c>
      <c r="F114" s="17" t="str">
        <f aca="false">IF(A114="","",SUMPRODUCT((Completions!A$2:A$5000=A114)*IFERROR(VLOOKUP(Completions!B$2:B$5000,$J$4:$K$18,2,FALSE()),0)))</f>
        <v/>
      </c>
      <c r="G114" s="17" t="str">
        <f aca="false">IF(A114="","",IF(F114&gt;=20,"Gold",IF(F114&gt;=14,"Silver",IF(F114&gt;=8,"Bronze","—"))))</f>
        <v/>
      </c>
      <c r="H114" s="17" t="str">
        <f aca="false">IF(A114="","",IFERROR(TEXT(maxifs(Completions!G:G,Completions!A:A,A114),"yyyy-mm-dd hh:mm"),"—"))</f>
        <v/>
      </c>
    </row>
    <row r="115" customFormat="false" ht="21.75" hidden="false" customHeight="true" outlineLevel="0" collapsed="false">
      <c r="A115" s="16" t="str">
        <f aca="false">IFERROR(IF(Members!A112="","",Members!A112),"")</f>
        <v/>
      </c>
      <c r="B115" s="16" t="str">
        <f aca="false">IFERROR(IF(Members!A112="","",Members!B112),"")</f>
        <v/>
      </c>
      <c r="C115" s="16" t="str">
        <f aca="false">IFERROR(IF(Members!A112="","",Members!C112),"")</f>
        <v/>
      </c>
      <c r="D115" s="16" t="str">
        <f aca="false">IFERROR(IF(Members!A112="","",Members!D112),"")</f>
        <v/>
      </c>
      <c r="E115" s="16" t="str">
        <f aca="false">IF(A115="","",COUNTIF(Completions!A:A,A115))</f>
        <v/>
      </c>
      <c r="F115" s="16" t="str">
        <f aca="false">IF(A115="","",SUMPRODUCT((Completions!A$2:A$5000=A115)*IFERROR(VLOOKUP(Completions!B$2:B$5000,$J$4:$K$18,2,FALSE()),0)))</f>
        <v/>
      </c>
      <c r="G115" s="16" t="str">
        <f aca="false">IF(A115="","",IF(F115&gt;=20,"Gold",IF(F115&gt;=14,"Silver",IF(F115&gt;=8,"Bronze","—"))))</f>
        <v/>
      </c>
      <c r="H115" s="16" t="str">
        <f aca="false">IF(A115="","",IFERROR(TEXT(maxifs(Completions!G:G,Completions!A:A,A115),"yyyy-mm-dd hh:mm"),"—"))</f>
        <v/>
      </c>
    </row>
    <row r="116" customFormat="false" ht="21.75" hidden="false" customHeight="true" outlineLevel="0" collapsed="false">
      <c r="A116" s="17" t="str">
        <f aca="false">IFERROR(IF(Members!A113="","",Members!A113),"")</f>
        <v/>
      </c>
      <c r="B116" s="17" t="str">
        <f aca="false">IFERROR(IF(Members!A113="","",Members!B113),"")</f>
        <v/>
      </c>
      <c r="C116" s="17" t="str">
        <f aca="false">IFERROR(IF(Members!A113="","",Members!C113),"")</f>
        <v/>
      </c>
      <c r="D116" s="17" t="str">
        <f aca="false">IFERROR(IF(Members!A113="","",Members!D113),"")</f>
        <v/>
      </c>
      <c r="E116" s="17" t="str">
        <f aca="false">IF(A116="","",COUNTIF(Completions!A:A,A116))</f>
        <v/>
      </c>
      <c r="F116" s="17" t="str">
        <f aca="false">IF(A116="","",SUMPRODUCT((Completions!A$2:A$5000=A116)*IFERROR(VLOOKUP(Completions!B$2:B$5000,$J$4:$K$18,2,FALSE()),0)))</f>
        <v/>
      </c>
      <c r="G116" s="17" t="str">
        <f aca="false">IF(A116="","",IF(F116&gt;=20,"Gold",IF(F116&gt;=14,"Silver",IF(F116&gt;=8,"Bronze","—"))))</f>
        <v/>
      </c>
      <c r="H116" s="17" t="str">
        <f aca="false">IF(A116="","",IFERROR(TEXT(maxifs(Completions!G:G,Completions!A:A,A116),"yyyy-mm-dd hh:mm"),"—"))</f>
        <v/>
      </c>
    </row>
    <row r="117" customFormat="false" ht="21.75" hidden="false" customHeight="true" outlineLevel="0" collapsed="false">
      <c r="A117" s="16" t="str">
        <f aca="false">IFERROR(IF(Members!A114="","",Members!A114),"")</f>
        <v/>
      </c>
      <c r="B117" s="16" t="str">
        <f aca="false">IFERROR(IF(Members!A114="","",Members!B114),"")</f>
        <v/>
      </c>
      <c r="C117" s="16" t="str">
        <f aca="false">IFERROR(IF(Members!A114="","",Members!C114),"")</f>
        <v/>
      </c>
      <c r="D117" s="16" t="str">
        <f aca="false">IFERROR(IF(Members!A114="","",Members!D114),"")</f>
        <v/>
      </c>
      <c r="E117" s="16" t="str">
        <f aca="false">IF(A117="","",COUNTIF(Completions!A:A,A117))</f>
        <v/>
      </c>
      <c r="F117" s="16" t="str">
        <f aca="false">IF(A117="","",SUMPRODUCT((Completions!A$2:A$5000=A117)*IFERROR(VLOOKUP(Completions!B$2:B$5000,$J$4:$K$18,2,FALSE()),0)))</f>
        <v/>
      </c>
      <c r="G117" s="16" t="str">
        <f aca="false">IF(A117="","",IF(F117&gt;=20,"Gold",IF(F117&gt;=14,"Silver",IF(F117&gt;=8,"Bronze","—"))))</f>
        <v/>
      </c>
      <c r="H117" s="16" t="str">
        <f aca="false">IF(A117="","",IFERROR(TEXT(maxifs(Completions!G:G,Completions!A:A,A117),"yyyy-mm-dd hh:mm"),"—"))</f>
        <v/>
      </c>
    </row>
    <row r="118" customFormat="false" ht="21.75" hidden="false" customHeight="true" outlineLevel="0" collapsed="false">
      <c r="A118" s="17" t="str">
        <f aca="false">IFERROR(IF(Members!A115="","",Members!A115),"")</f>
        <v/>
      </c>
      <c r="B118" s="17" t="str">
        <f aca="false">IFERROR(IF(Members!A115="","",Members!B115),"")</f>
        <v/>
      </c>
      <c r="C118" s="17" t="str">
        <f aca="false">IFERROR(IF(Members!A115="","",Members!C115),"")</f>
        <v/>
      </c>
      <c r="D118" s="17" t="str">
        <f aca="false">IFERROR(IF(Members!A115="","",Members!D115),"")</f>
        <v/>
      </c>
      <c r="E118" s="17" t="str">
        <f aca="false">IF(A118="","",COUNTIF(Completions!A:A,A118))</f>
        <v/>
      </c>
      <c r="F118" s="17" t="str">
        <f aca="false">IF(A118="","",SUMPRODUCT((Completions!A$2:A$5000=A118)*IFERROR(VLOOKUP(Completions!B$2:B$5000,$J$4:$K$18,2,FALSE()),0)))</f>
        <v/>
      </c>
      <c r="G118" s="17" t="str">
        <f aca="false">IF(A118="","",IF(F118&gt;=20,"Gold",IF(F118&gt;=14,"Silver",IF(F118&gt;=8,"Bronze","—"))))</f>
        <v/>
      </c>
      <c r="H118" s="17" t="str">
        <f aca="false">IF(A118="","",IFERROR(TEXT(maxifs(Completions!G:G,Completions!A:A,A118),"yyyy-mm-dd hh:mm"),"—"))</f>
        <v/>
      </c>
    </row>
    <row r="119" customFormat="false" ht="21.75" hidden="false" customHeight="true" outlineLevel="0" collapsed="false">
      <c r="A119" s="16" t="str">
        <f aca="false">IFERROR(IF(Members!A116="","",Members!A116),"")</f>
        <v/>
      </c>
      <c r="B119" s="16" t="str">
        <f aca="false">IFERROR(IF(Members!A116="","",Members!B116),"")</f>
        <v/>
      </c>
      <c r="C119" s="16" t="str">
        <f aca="false">IFERROR(IF(Members!A116="","",Members!C116),"")</f>
        <v/>
      </c>
      <c r="D119" s="16" t="str">
        <f aca="false">IFERROR(IF(Members!A116="","",Members!D116),"")</f>
        <v/>
      </c>
      <c r="E119" s="16" t="str">
        <f aca="false">IF(A119="","",COUNTIF(Completions!A:A,A119))</f>
        <v/>
      </c>
      <c r="F119" s="16" t="str">
        <f aca="false">IF(A119="","",SUMPRODUCT((Completions!A$2:A$5000=A119)*IFERROR(VLOOKUP(Completions!B$2:B$5000,$J$4:$K$18,2,FALSE()),0)))</f>
        <v/>
      </c>
      <c r="G119" s="16" t="str">
        <f aca="false">IF(A119="","",IF(F119&gt;=20,"Gold",IF(F119&gt;=14,"Silver",IF(F119&gt;=8,"Bronze","—"))))</f>
        <v/>
      </c>
      <c r="H119" s="16" t="str">
        <f aca="false">IF(A119="","",IFERROR(TEXT(maxifs(Completions!G:G,Completions!A:A,A119),"yyyy-mm-dd hh:mm"),"—"))</f>
        <v/>
      </c>
    </row>
    <row r="120" customFormat="false" ht="21.75" hidden="false" customHeight="true" outlineLevel="0" collapsed="false">
      <c r="A120" s="17" t="str">
        <f aca="false">IFERROR(IF(Members!A117="","",Members!A117),"")</f>
        <v/>
      </c>
      <c r="B120" s="17" t="str">
        <f aca="false">IFERROR(IF(Members!A117="","",Members!B117),"")</f>
        <v/>
      </c>
      <c r="C120" s="17" t="str">
        <f aca="false">IFERROR(IF(Members!A117="","",Members!C117),"")</f>
        <v/>
      </c>
      <c r="D120" s="17" t="str">
        <f aca="false">IFERROR(IF(Members!A117="","",Members!D117),"")</f>
        <v/>
      </c>
      <c r="E120" s="17" t="str">
        <f aca="false">IF(A120="","",COUNTIF(Completions!A:A,A120))</f>
        <v/>
      </c>
      <c r="F120" s="17" t="str">
        <f aca="false">IF(A120="","",SUMPRODUCT((Completions!A$2:A$5000=A120)*IFERROR(VLOOKUP(Completions!B$2:B$5000,$J$4:$K$18,2,FALSE()),0)))</f>
        <v/>
      </c>
      <c r="G120" s="17" t="str">
        <f aca="false">IF(A120="","",IF(F120&gt;=20,"Gold",IF(F120&gt;=14,"Silver",IF(F120&gt;=8,"Bronze","—"))))</f>
        <v/>
      </c>
      <c r="H120" s="17" t="str">
        <f aca="false">IF(A120="","",IFERROR(TEXT(maxifs(Completions!G:G,Completions!A:A,A120),"yyyy-mm-dd hh:mm"),"—"))</f>
        <v/>
      </c>
    </row>
    <row r="121" customFormat="false" ht="21.75" hidden="false" customHeight="true" outlineLevel="0" collapsed="false">
      <c r="A121" s="16" t="str">
        <f aca="false">IFERROR(IF(Members!A118="","",Members!A118),"")</f>
        <v/>
      </c>
      <c r="B121" s="16" t="str">
        <f aca="false">IFERROR(IF(Members!A118="","",Members!B118),"")</f>
        <v/>
      </c>
      <c r="C121" s="16" t="str">
        <f aca="false">IFERROR(IF(Members!A118="","",Members!C118),"")</f>
        <v/>
      </c>
      <c r="D121" s="16" t="str">
        <f aca="false">IFERROR(IF(Members!A118="","",Members!D118),"")</f>
        <v/>
      </c>
      <c r="E121" s="16" t="str">
        <f aca="false">IF(A121="","",COUNTIF(Completions!A:A,A121))</f>
        <v/>
      </c>
      <c r="F121" s="16" t="str">
        <f aca="false">IF(A121="","",SUMPRODUCT((Completions!A$2:A$5000=A121)*IFERROR(VLOOKUP(Completions!B$2:B$5000,$J$4:$K$18,2,FALSE()),0)))</f>
        <v/>
      </c>
      <c r="G121" s="16" t="str">
        <f aca="false">IF(A121="","",IF(F121&gt;=20,"Gold",IF(F121&gt;=14,"Silver",IF(F121&gt;=8,"Bronze","—"))))</f>
        <v/>
      </c>
      <c r="H121" s="16" t="str">
        <f aca="false">IF(A121="","",IFERROR(TEXT(maxifs(Completions!G:G,Completions!A:A,A121),"yyyy-mm-dd hh:mm"),"—"))</f>
        <v/>
      </c>
    </row>
    <row r="122" customFormat="false" ht="21.75" hidden="false" customHeight="true" outlineLevel="0" collapsed="false">
      <c r="A122" s="17" t="str">
        <f aca="false">IFERROR(IF(Members!A119="","",Members!A119),"")</f>
        <v/>
      </c>
      <c r="B122" s="17" t="str">
        <f aca="false">IFERROR(IF(Members!A119="","",Members!B119),"")</f>
        <v/>
      </c>
      <c r="C122" s="17" t="str">
        <f aca="false">IFERROR(IF(Members!A119="","",Members!C119),"")</f>
        <v/>
      </c>
      <c r="D122" s="17" t="str">
        <f aca="false">IFERROR(IF(Members!A119="","",Members!D119),"")</f>
        <v/>
      </c>
      <c r="E122" s="17" t="str">
        <f aca="false">IF(A122="","",COUNTIF(Completions!A:A,A122))</f>
        <v/>
      </c>
      <c r="F122" s="17" t="str">
        <f aca="false">IF(A122="","",SUMPRODUCT((Completions!A$2:A$5000=A122)*IFERROR(VLOOKUP(Completions!B$2:B$5000,$J$4:$K$18,2,FALSE()),0)))</f>
        <v/>
      </c>
      <c r="G122" s="17" t="str">
        <f aca="false">IF(A122="","",IF(F122&gt;=20,"Gold",IF(F122&gt;=14,"Silver",IF(F122&gt;=8,"Bronze","—"))))</f>
        <v/>
      </c>
      <c r="H122" s="17" t="str">
        <f aca="false">IF(A122="","",IFERROR(TEXT(maxifs(Completions!G:G,Completions!A:A,A122),"yyyy-mm-dd hh:mm"),"—"))</f>
        <v/>
      </c>
    </row>
    <row r="123" customFormat="false" ht="21.75" hidden="false" customHeight="true" outlineLevel="0" collapsed="false">
      <c r="A123" s="16" t="str">
        <f aca="false">IFERROR(IF(Members!A120="","",Members!A120),"")</f>
        <v/>
      </c>
      <c r="B123" s="16" t="str">
        <f aca="false">IFERROR(IF(Members!A120="","",Members!B120),"")</f>
        <v/>
      </c>
      <c r="C123" s="16" t="str">
        <f aca="false">IFERROR(IF(Members!A120="","",Members!C120),"")</f>
        <v/>
      </c>
      <c r="D123" s="16" t="str">
        <f aca="false">IFERROR(IF(Members!A120="","",Members!D120),"")</f>
        <v/>
      </c>
      <c r="E123" s="16" t="str">
        <f aca="false">IF(A123="","",COUNTIF(Completions!A:A,A123))</f>
        <v/>
      </c>
      <c r="F123" s="16" t="str">
        <f aca="false">IF(A123="","",SUMPRODUCT((Completions!A$2:A$5000=A123)*IFERROR(VLOOKUP(Completions!B$2:B$5000,$J$4:$K$18,2,FALSE()),0)))</f>
        <v/>
      </c>
      <c r="G123" s="16" t="str">
        <f aca="false">IF(A123="","",IF(F123&gt;=20,"Gold",IF(F123&gt;=14,"Silver",IF(F123&gt;=8,"Bronze","—"))))</f>
        <v/>
      </c>
      <c r="H123" s="16" t="str">
        <f aca="false">IF(A123="","",IFERROR(TEXT(maxifs(Completions!G:G,Completions!A:A,A123),"yyyy-mm-dd hh:mm"),"—"))</f>
        <v/>
      </c>
    </row>
    <row r="124" customFormat="false" ht="21.75" hidden="false" customHeight="true" outlineLevel="0" collapsed="false">
      <c r="A124" s="17" t="str">
        <f aca="false">IFERROR(IF(Members!A121="","",Members!A121),"")</f>
        <v/>
      </c>
      <c r="B124" s="17" t="str">
        <f aca="false">IFERROR(IF(Members!A121="","",Members!B121),"")</f>
        <v/>
      </c>
      <c r="C124" s="17" t="str">
        <f aca="false">IFERROR(IF(Members!A121="","",Members!C121),"")</f>
        <v/>
      </c>
      <c r="D124" s="17" t="str">
        <f aca="false">IFERROR(IF(Members!A121="","",Members!D121),"")</f>
        <v/>
      </c>
      <c r="E124" s="17" t="str">
        <f aca="false">IF(A124="","",COUNTIF(Completions!A:A,A124))</f>
        <v/>
      </c>
      <c r="F124" s="17" t="str">
        <f aca="false">IF(A124="","",SUMPRODUCT((Completions!A$2:A$5000=A124)*IFERROR(VLOOKUP(Completions!B$2:B$5000,$J$4:$K$18,2,FALSE()),0)))</f>
        <v/>
      </c>
      <c r="G124" s="17" t="str">
        <f aca="false">IF(A124="","",IF(F124&gt;=20,"Gold",IF(F124&gt;=14,"Silver",IF(F124&gt;=8,"Bronze","—"))))</f>
        <v/>
      </c>
      <c r="H124" s="17" t="str">
        <f aca="false">IF(A124="","",IFERROR(TEXT(maxifs(Completions!G:G,Completions!A:A,A124),"yyyy-mm-dd hh:mm"),"—"))</f>
        <v/>
      </c>
    </row>
    <row r="125" customFormat="false" ht="21.75" hidden="false" customHeight="true" outlineLevel="0" collapsed="false">
      <c r="A125" s="16" t="str">
        <f aca="false">IFERROR(IF(Members!A122="","",Members!A122),"")</f>
        <v/>
      </c>
      <c r="B125" s="16" t="str">
        <f aca="false">IFERROR(IF(Members!A122="","",Members!B122),"")</f>
        <v/>
      </c>
      <c r="C125" s="16" t="str">
        <f aca="false">IFERROR(IF(Members!A122="","",Members!C122),"")</f>
        <v/>
      </c>
      <c r="D125" s="16" t="str">
        <f aca="false">IFERROR(IF(Members!A122="","",Members!D122),"")</f>
        <v/>
      </c>
      <c r="E125" s="16" t="str">
        <f aca="false">IF(A125="","",COUNTIF(Completions!A:A,A125))</f>
        <v/>
      </c>
      <c r="F125" s="16" t="str">
        <f aca="false">IF(A125="","",SUMPRODUCT((Completions!A$2:A$5000=A125)*IFERROR(VLOOKUP(Completions!B$2:B$5000,$J$4:$K$18,2,FALSE()),0)))</f>
        <v/>
      </c>
      <c r="G125" s="16" t="str">
        <f aca="false">IF(A125="","",IF(F125&gt;=20,"Gold",IF(F125&gt;=14,"Silver",IF(F125&gt;=8,"Bronze","—"))))</f>
        <v/>
      </c>
      <c r="H125" s="16" t="str">
        <f aca="false">IF(A125="","",IFERROR(TEXT(maxifs(Completions!G:G,Completions!A:A,A125),"yyyy-mm-dd hh:mm"),"—"))</f>
        <v/>
      </c>
    </row>
    <row r="126" customFormat="false" ht="21.75" hidden="false" customHeight="true" outlineLevel="0" collapsed="false">
      <c r="A126" s="17" t="str">
        <f aca="false">IFERROR(IF(Members!A123="","",Members!A123),"")</f>
        <v/>
      </c>
      <c r="B126" s="17" t="str">
        <f aca="false">IFERROR(IF(Members!A123="","",Members!B123),"")</f>
        <v/>
      </c>
      <c r="C126" s="17" t="str">
        <f aca="false">IFERROR(IF(Members!A123="","",Members!C123),"")</f>
        <v/>
      </c>
      <c r="D126" s="17" t="str">
        <f aca="false">IFERROR(IF(Members!A123="","",Members!D123),"")</f>
        <v/>
      </c>
      <c r="E126" s="17" t="str">
        <f aca="false">IF(A126="","",COUNTIF(Completions!A:A,A126))</f>
        <v/>
      </c>
      <c r="F126" s="17" t="str">
        <f aca="false">IF(A126="","",SUMPRODUCT((Completions!A$2:A$5000=A126)*IFERROR(VLOOKUP(Completions!B$2:B$5000,$J$4:$K$18,2,FALSE()),0)))</f>
        <v/>
      </c>
      <c r="G126" s="17" t="str">
        <f aca="false">IF(A126="","",IF(F126&gt;=20,"Gold",IF(F126&gt;=14,"Silver",IF(F126&gt;=8,"Bronze","—"))))</f>
        <v/>
      </c>
      <c r="H126" s="17" t="str">
        <f aca="false">IF(A126="","",IFERROR(TEXT(maxifs(Completions!G:G,Completions!A:A,A126),"yyyy-mm-dd hh:mm"),"—"))</f>
        <v/>
      </c>
    </row>
    <row r="127" customFormat="false" ht="21.75" hidden="false" customHeight="true" outlineLevel="0" collapsed="false">
      <c r="A127" s="16" t="str">
        <f aca="false">IFERROR(IF(Members!A124="","",Members!A124),"")</f>
        <v/>
      </c>
      <c r="B127" s="16" t="str">
        <f aca="false">IFERROR(IF(Members!A124="","",Members!B124),"")</f>
        <v/>
      </c>
      <c r="C127" s="16" t="str">
        <f aca="false">IFERROR(IF(Members!A124="","",Members!C124),"")</f>
        <v/>
      </c>
      <c r="D127" s="16" t="str">
        <f aca="false">IFERROR(IF(Members!A124="","",Members!D124),"")</f>
        <v/>
      </c>
      <c r="E127" s="16" t="str">
        <f aca="false">IF(A127="","",COUNTIF(Completions!A:A,A127))</f>
        <v/>
      </c>
      <c r="F127" s="16" t="str">
        <f aca="false">IF(A127="","",SUMPRODUCT((Completions!A$2:A$5000=A127)*IFERROR(VLOOKUP(Completions!B$2:B$5000,$J$4:$K$18,2,FALSE()),0)))</f>
        <v/>
      </c>
      <c r="G127" s="16" t="str">
        <f aca="false">IF(A127="","",IF(F127&gt;=20,"Gold",IF(F127&gt;=14,"Silver",IF(F127&gt;=8,"Bronze","—"))))</f>
        <v/>
      </c>
      <c r="H127" s="16" t="str">
        <f aca="false">IF(A127="","",IFERROR(TEXT(maxifs(Completions!G:G,Completions!A:A,A127),"yyyy-mm-dd hh:mm"),"—"))</f>
        <v/>
      </c>
    </row>
    <row r="128" customFormat="false" ht="21.75" hidden="false" customHeight="true" outlineLevel="0" collapsed="false">
      <c r="A128" s="17" t="str">
        <f aca="false">IFERROR(IF(Members!A125="","",Members!A125),"")</f>
        <v/>
      </c>
      <c r="B128" s="17" t="str">
        <f aca="false">IFERROR(IF(Members!A125="","",Members!B125),"")</f>
        <v/>
      </c>
      <c r="C128" s="17" t="str">
        <f aca="false">IFERROR(IF(Members!A125="","",Members!C125),"")</f>
        <v/>
      </c>
      <c r="D128" s="17" t="str">
        <f aca="false">IFERROR(IF(Members!A125="","",Members!D125),"")</f>
        <v/>
      </c>
      <c r="E128" s="17" t="str">
        <f aca="false">IF(A128="","",COUNTIF(Completions!A:A,A128))</f>
        <v/>
      </c>
      <c r="F128" s="17" t="str">
        <f aca="false">IF(A128="","",SUMPRODUCT((Completions!A$2:A$5000=A128)*IFERROR(VLOOKUP(Completions!B$2:B$5000,$J$4:$K$18,2,FALSE()),0)))</f>
        <v/>
      </c>
      <c r="G128" s="17" t="str">
        <f aca="false">IF(A128="","",IF(F128&gt;=20,"Gold",IF(F128&gt;=14,"Silver",IF(F128&gt;=8,"Bronze","—"))))</f>
        <v/>
      </c>
      <c r="H128" s="17" t="str">
        <f aca="false">IF(A128="","",IFERROR(TEXT(maxifs(Completions!G:G,Completions!A:A,A128),"yyyy-mm-dd hh:mm"),"—"))</f>
        <v/>
      </c>
    </row>
    <row r="129" customFormat="false" ht="21.75" hidden="false" customHeight="true" outlineLevel="0" collapsed="false">
      <c r="A129" s="16" t="str">
        <f aca="false">IFERROR(IF(Members!A126="","",Members!A126),"")</f>
        <v/>
      </c>
      <c r="B129" s="16" t="str">
        <f aca="false">IFERROR(IF(Members!A126="","",Members!B126),"")</f>
        <v/>
      </c>
      <c r="C129" s="16" t="str">
        <f aca="false">IFERROR(IF(Members!A126="","",Members!C126),"")</f>
        <v/>
      </c>
      <c r="D129" s="16" t="str">
        <f aca="false">IFERROR(IF(Members!A126="","",Members!D126),"")</f>
        <v/>
      </c>
      <c r="E129" s="16" t="str">
        <f aca="false">IF(A129="","",COUNTIF(Completions!A:A,A129))</f>
        <v/>
      </c>
      <c r="F129" s="16" t="str">
        <f aca="false">IF(A129="","",SUMPRODUCT((Completions!A$2:A$5000=A129)*IFERROR(VLOOKUP(Completions!B$2:B$5000,$J$4:$K$18,2,FALSE()),0)))</f>
        <v/>
      </c>
      <c r="G129" s="16" t="str">
        <f aca="false">IF(A129="","",IF(F129&gt;=20,"Gold",IF(F129&gt;=14,"Silver",IF(F129&gt;=8,"Bronze","—"))))</f>
        <v/>
      </c>
      <c r="H129" s="16" t="str">
        <f aca="false">IF(A129="","",IFERROR(TEXT(maxifs(Completions!G:G,Completions!A:A,A129),"yyyy-mm-dd hh:mm"),"—"))</f>
        <v/>
      </c>
    </row>
    <row r="130" customFormat="false" ht="21.75" hidden="false" customHeight="true" outlineLevel="0" collapsed="false">
      <c r="A130" s="17" t="str">
        <f aca="false">IFERROR(IF(Members!A127="","",Members!A127),"")</f>
        <v/>
      </c>
      <c r="B130" s="17" t="str">
        <f aca="false">IFERROR(IF(Members!A127="","",Members!B127),"")</f>
        <v/>
      </c>
      <c r="C130" s="17" t="str">
        <f aca="false">IFERROR(IF(Members!A127="","",Members!C127),"")</f>
        <v/>
      </c>
      <c r="D130" s="17" t="str">
        <f aca="false">IFERROR(IF(Members!A127="","",Members!D127),"")</f>
        <v/>
      </c>
      <c r="E130" s="17" t="str">
        <f aca="false">IF(A130="","",COUNTIF(Completions!A:A,A130))</f>
        <v/>
      </c>
      <c r="F130" s="17" t="str">
        <f aca="false">IF(A130="","",SUMPRODUCT((Completions!A$2:A$5000=A130)*IFERROR(VLOOKUP(Completions!B$2:B$5000,$J$4:$K$18,2,FALSE()),0)))</f>
        <v/>
      </c>
      <c r="G130" s="17" t="str">
        <f aca="false">IF(A130="","",IF(F130&gt;=20,"Gold",IF(F130&gt;=14,"Silver",IF(F130&gt;=8,"Bronze","—"))))</f>
        <v/>
      </c>
      <c r="H130" s="17" t="str">
        <f aca="false">IF(A130="","",IFERROR(TEXT(maxifs(Completions!G:G,Completions!A:A,A130),"yyyy-mm-dd hh:mm"),"—"))</f>
        <v/>
      </c>
    </row>
    <row r="131" customFormat="false" ht="21.75" hidden="false" customHeight="true" outlineLevel="0" collapsed="false">
      <c r="A131" s="16" t="str">
        <f aca="false">IFERROR(IF(Members!A128="","",Members!A128),"")</f>
        <v/>
      </c>
      <c r="B131" s="16" t="str">
        <f aca="false">IFERROR(IF(Members!A128="","",Members!B128),"")</f>
        <v/>
      </c>
      <c r="C131" s="16" t="str">
        <f aca="false">IFERROR(IF(Members!A128="","",Members!C128),"")</f>
        <v/>
      </c>
      <c r="D131" s="16" t="str">
        <f aca="false">IFERROR(IF(Members!A128="","",Members!D128),"")</f>
        <v/>
      </c>
      <c r="E131" s="16" t="str">
        <f aca="false">IF(A131="","",COUNTIF(Completions!A:A,A131))</f>
        <v/>
      </c>
      <c r="F131" s="16" t="str">
        <f aca="false">IF(A131="","",SUMPRODUCT((Completions!A$2:A$5000=A131)*IFERROR(VLOOKUP(Completions!B$2:B$5000,$J$4:$K$18,2,FALSE()),0)))</f>
        <v/>
      </c>
      <c r="G131" s="16" t="str">
        <f aca="false">IF(A131="","",IF(F131&gt;=20,"Gold",IF(F131&gt;=14,"Silver",IF(F131&gt;=8,"Bronze","—"))))</f>
        <v/>
      </c>
      <c r="H131" s="16" t="str">
        <f aca="false">IF(A131="","",IFERROR(TEXT(maxifs(Completions!G:G,Completions!A:A,A131),"yyyy-mm-dd hh:mm"),"—"))</f>
        <v/>
      </c>
    </row>
    <row r="132" customFormat="false" ht="21.75" hidden="false" customHeight="true" outlineLevel="0" collapsed="false">
      <c r="A132" s="17" t="str">
        <f aca="false">IFERROR(IF(Members!A129="","",Members!A129),"")</f>
        <v/>
      </c>
      <c r="B132" s="17" t="str">
        <f aca="false">IFERROR(IF(Members!A129="","",Members!B129),"")</f>
        <v/>
      </c>
      <c r="C132" s="17" t="str">
        <f aca="false">IFERROR(IF(Members!A129="","",Members!C129),"")</f>
        <v/>
      </c>
      <c r="D132" s="17" t="str">
        <f aca="false">IFERROR(IF(Members!A129="","",Members!D129),"")</f>
        <v/>
      </c>
      <c r="E132" s="17" t="str">
        <f aca="false">IF(A132="","",COUNTIF(Completions!A:A,A132))</f>
        <v/>
      </c>
      <c r="F132" s="17" t="str">
        <f aca="false">IF(A132="","",SUMPRODUCT((Completions!A$2:A$5000=A132)*IFERROR(VLOOKUP(Completions!B$2:B$5000,$J$4:$K$18,2,FALSE()),0)))</f>
        <v/>
      </c>
      <c r="G132" s="17" t="str">
        <f aca="false">IF(A132="","",IF(F132&gt;=20,"Gold",IF(F132&gt;=14,"Silver",IF(F132&gt;=8,"Bronze","—"))))</f>
        <v/>
      </c>
      <c r="H132" s="17" t="str">
        <f aca="false">IF(A132="","",IFERROR(TEXT(maxifs(Completions!G:G,Completions!A:A,A132),"yyyy-mm-dd hh:mm"),"—"))</f>
        <v/>
      </c>
    </row>
    <row r="133" customFormat="false" ht="21.75" hidden="false" customHeight="true" outlineLevel="0" collapsed="false">
      <c r="A133" s="16" t="str">
        <f aca="false">IFERROR(IF(Members!A130="","",Members!A130),"")</f>
        <v/>
      </c>
      <c r="B133" s="16" t="str">
        <f aca="false">IFERROR(IF(Members!A130="","",Members!B130),"")</f>
        <v/>
      </c>
      <c r="C133" s="16" t="str">
        <f aca="false">IFERROR(IF(Members!A130="","",Members!C130),"")</f>
        <v/>
      </c>
      <c r="D133" s="16" t="str">
        <f aca="false">IFERROR(IF(Members!A130="","",Members!D130),"")</f>
        <v/>
      </c>
      <c r="E133" s="16" t="str">
        <f aca="false">IF(A133="","",COUNTIF(Completions!A:A,A133))</f>
        <v/>
      </c>
      <c r="F133" s="16" t="str">
        <f aca="false">IF(A133="","",SUMPRODUCT((Completions!A$2:A$5000=A133)*IFERROR(VLOOKUP(Completions!B$2:B$5000,$J$4:$K$18,2,FALSE()),0)))</f>
        <v/>
      </c>
      <c r="G133" s="16" t="str">
        <f aca="false">IF(A133="","",IF(F133&gt;=20,"Gold",IF(F133&gt;=14,"Silver",IF(F133&gt;=8,"Bronze","—"))))</f>
        <v/>
      </c>
      <c r="H133" s="16" t="str">
        <f aca="false">IF(A133="","",IFERROR(TEXT(maxifs(Completions!G:G,Completions!A:A,A133),"yyyy-mm-dd hh:mm"),"—"))</f>
        <v/>
      </c>
    </row>
    <row r="134" customFormat="false" ht="21.75" hidden="false" customHeight="true" outlineLevel="0" collapsed="false">
      <c r="A134" s="17" t="str">
        <f aca="false">IFERROR(IF(Members!A131="","",Members!A131),"")</f>
        <v/>
      </c>
      <c r="B134" s="17" t="str">
        <f aca="false">IFERROR(IF(Members!A131="","",Members!B131),"")</f>
        <v/>
      </c>
      <c r="C134" s="17" t="str">
        <f aca="false">IFERROR(IF(Members!A131="","",Members!C131),"")</f>
        <v/>
      </c>
      <c r="D134" s="17" t="str">
        <f aca="false">IFERROR(IF(Members!A131="","",Members!D131),"")</f>
        <v/>
      </c>
      <c r="E134" s="17" t="str">
        <f aca="false">IF(A134="","",COUNTIF(Completions!A:A,A134))</f>
        <v/>
      </c>
      <c r="F134" s="17" t="str">
        <f aca="false">IF(A134="","",SUMPRODUCT((Completions!A$2:A$5000=A134)*IFERROR(VLOOKUP(Completions!B$2:B$5000,$J$4:$K$18,2,FALSE()),0)))</f>
        <v/>
      </c>
      <c r="G134" s="17" t="str">
        <f aca="false">IF(A134="","",IF(F134&gt;=20,"Gold",IF(F134&gt;=14,"Silver",IF(F134&gt;=8,"Bronze","—"))))</f>
        <v/>
      </c>
      <c r="H134" s="17" t="str">
        <f aca="false">IF(A134="","",IFERROR(TEXT(maxifs(Completions!G:G,Completions!A:A,A134),"yyyy-mm-dd hh:mm"),"—"))</f>
        <v/>
      </c>
    </row>
    <row r="135" customFormat="false" ht="21.75" hidden="false" customHeight="true" outlineLevel="0" collapsed="false">
      <c r="A135" s="16" t="str">
        <f aca="false">IFERROR(IF(Members!A132="","",Members!A132),"")</f>
        <v/>
      </c>
      <c r="B135" s="16" t="str">
        <f aca="false">IFERROR(IF(Members!A132="","",Members!B132),"")</f>
        <v/>
      </c>
      <c r="C135" s="16" t="str">
        <f aca="false">IFERROR(IF(Members!A132="","",Members!C132),"")</f>
        <v/>
      </c>
      <c r="D135" s="16" t="str">
        <f aca="false">IFERROR(IF(Members!A132="","",Members!D132),"")</f>
        <v/>
      </c>
      <c r="E135" s="16" t="str">
        <f aca="false">IF(A135="","",COUNTIF(Completions!A:A,A135))</f>
        <v/>
      </c>
      <c r="F135" s="16" t="str">
        <f aca="false">IF(A135="","",SUMPRODUCT((Completions!A$2:A$5000=A135)*IFERROR(VLOOKUP(Completions!B$2:B$5000,$J$4:$K$18,2,FALSE()),0)))</f>
        <v/>
      </c>
      <c r="G135" s="16" t="str">
        <f aca="false">IF(A135="","",IF(F135&gt;=20,"Gold",IF(F135&gt;=14,"Silver",IF(F135&gt;=8,"Bronze","—"))))</f>
        <v/>
      </c>
      <c r="H135" s="16" t="str">
        <f aca="false">IF(A135="","",IFERROR(TEXT(maxifs(Completions!G:G,Completions!A:A,A135),"yyyy-mm-dd hh:mm"),"—"))</f>
        <v/>
      </c>
    </row>
    <row r="136" customFormat="false" ht="21.75" hidden="false" customHeight="true" outlineLevel="0" collapsed="false">
      <c r="A136" s="17" t="str">
        <f aca="false">IFERROR(IF(Members!A133="","",Members!A133),"")</f>
        <v/>
      </c>
      <c r="B136" s="17" t="str">
        <f aca="false">IFERROR(IF(Members!A133="","",Members!B133),"")</f>
        <v/>
      </c>
      <c r="C136" s="17" t="str">
        <f aca="false">IFERROR(IF(Members!A133="","",Members!C133),"")</f>
        <v/>
      </c>
      <c r="D136" s="17" t="str">
        <f aca="false">IFERROR(IF(Members!A133="","",Members!D133),"")</f>
        <v/>
      </c>
      <c r="E136" s="17" t="str">
        <f aca="false">IF(A136="","",COUNTIF(Completions!A:A,A136))</f>
        <v/>
      </c>
      <c r="F136" s="17" t="str">
        <f aca="false">IF(A136="","",SUMPRODUCT((Completions!A$2:A$5000=A136)*IFERROR(VLOOKUP(Completions!B$2:B$5000,$J$4:$K$18,2,FALSE()),0)))</f>
        <v/>
      </c>
      <c r="G136" s="17" t="str">
        <f aca="false">IF(A136="","",IF(F136&gt;=20,"Gold",IF(F136&gt;=14,"Silver",IF(F136&gt;=8,"Bronze","—"))))</f>
        <v/>
      </c>
      <c r="H136" s="17" t="str">
        <f aca="false">IF(A136="","",IFERROR(TEXT(maxifs(Completions!G:G,Completions!A:A,A136),"yyyy-mm-dd hh:mm"),"—"))</f>
        <v/>
      </c>
    </row>
    <row r="137" customFormat="false" ht="21.75" hidden="false" customHeight="true" outlineLevel="0" collapsed="false">
      <c r="A137" s="16" t="str">
        <f aca="false">IFERROR(IF(Members!A134="","",Members!A134),"")</f>
        <v/>
      </c>
      <c r="B137" s="16" t="str">
        <f aca="false">IFERROR(IF(Members!A134="","",Members!B134),"")</f>
        <v/>
      </c>
      <c r="C137" s="16" t="str">
        <f aca="false">IFERROR(IF(Members!A134="","",Members!C134),"")</f>
        <v/>
      </c>
      <c r="D137" s="16" t="str">
        <f aca="false">IFERROR(IF(Members!A134="","",Members!D134),"")</f>
        <v/>
      </c>
      <c r="E137" s="16" t="str">
        <f aca="false">IF(A137="","",COUNTIF(Completions!A:A,A137))</f>
        <v/>
      </c>
      <c r="F137" s="16" t="str">
        <f aca="false">IF(A137="","",SUMPRODUCT((Completions!A$2:A$5000=A137)*IFERROR(VLOOKUP(Completions!B$2:B$5000,$J$4:$K$18,2,FALSE()),0)))</f>
        <v/>
      </c>
      <c r="G137" s="16" t="str">
        <f aca="false">IF(A137="","",IF(F137&gt;=20,"Gold",IF(F137&gt;=14,"Silver",IF(F137&gt;=8,"Bronze","—"))))</f>
        <v/>
      </c>
      <c r="H137" s="16" t="str">
        <f aca="false">IF(A137="","",IFERROR(TEXT(maxifs(Completions!G:G,Completions!A:A,A137),"yyyy-mm-dd hh:mm"),"—"))</f>
        <v/>
      </c>
    </row>
    <row r="138" customFormat="false" ht="21.75" hidden="false" customHeight="true" outlineLevel="0" collapsed="false">
      <c r="A138" s="17" t="str">
        <f aca="false">IFERROR(IF(Members!A135="","",Members!A135),"")</f>
        <v/>
      </c>
      <c r="B138" s="17" t="str">
        <f aca="false">IFERROR(IF(Members!A135="","",Members!B135),"")</f>
        <v/>
      </c>
      <c r="C138" s="17" t="str">
        <f aca="false">IFERROR(IF(Members!A135="","",Members!C135),"")</f>
        <v/>
      </c>
      <c r="D138" s="17" t="str">
        <f aca="false">IFERROR(IF(Members!A135="","",Members!D135),"")</f>
        <v/>
      </c>
      <c r="E138" s="17" t="str">
        <f aca="false">IF(A138="","",COUNTIF(Completions!A:A,A138))</f>
        <v/>
      </c>
      <c r="F138" s="17" t="str">
        <f aca="false">IF(A138="","",SUMPRODUCT((Completions!A$2:A$5000=A138)*IFERROR(VLOOKUP(Completions!B$2:B$5000,$J$4:$K$18,2,FALSE()),0)))</f>
        <v/>
      </c>
      <c r="G138" s="17" t="str">
        <f aca="false">IF(A138="","",IF(F138&gt;=20,"Gold",IF(F138&gt;=14,"Silver",IF(F138&gt;=8,"Bronze","—"))))</f>
        <v/>
      </c>
      <c r="H138" s="17" t="str">
        <f aca="false">IF(A138="","",IFERROR(TEXT(maxifs(Completions!G:G,Completions!A:A,A138),"yyyy-mm-dd hh:mm"),"—"))</f>
        <v/>
      </c>
    </row>
    <row r="139" customFormat="false" ht="21.75" hidden="false" customHeight="true" outlineLevel="0" collapsed="false">
      <c r="A139" s="16" t="str">
        <f aca="false">IFERROR(IF(Members!A136="","",Members!A136),"")</f>
        <v/>
      </c>
      <c r="B139" s="16" t="str">
        <f aca="false">IFERROR(IF(Members!A136="","",Members!B136),"")</f>
        <v/>
      </c>
      <c r="C139" s="16" t="str">
        <f aca="false">IFERROR(IF(Members!A136="","",Members!C136),"")</f>
        <v/>
      </c>
      <c r="D139" s="16" t="str">
        <f aca="false">IFERROR(IF(Members!A136="","",Members!D136),"")</f>
        <v/>
      </c>
      <c r="E139" s="16" t="str">
        <f aca="false">IF(A139="","",COUNTIF(Completions!A:A,A139))</f>
        <v/>
      </c>
      <c r="F139" s="16" t="str">
        <f aca="false">IF(A139="","",SUMPRODUCT((Completions!A$2:A$5000=A139)*IFERROR(VLOOKUP(Completions!B$2:B$5000,$J$4:$K$18,2,FALSE()),0)))</f>
        <v/>
      </c>
      <c r="G139" s="16" t="str">
        <f aca="false">IF(A139="","",IF(F139&gt;=20,"Gold",IF(F139&gt;=14,"Silver",IF(F139&gt;=8,"Bronze","—"))))</f>
        <v/>
      </c>
      <c r="H139" s="16" t="str">
        <f aca="false">IF(A139="","",IFERROR(TEXT(maxifs(Completions!G:G,Completions!A:A,A139),"yyyy-mm-dd hh:mm"),"—"))</f>
        <v/>
      </c>
    </row>
    <row r="140" customFormat="false" ht="21.75" hidden="false" customHeight="true" outlineLevel="0" collapsed="false">
      <c r="A140" s="17" t="str">
        <f aca="false">IFERROR(IF(Members!A137="","",Members!A137),"")</f>
        <v/>
      </c>
      <c r="B140" s="17" t="str">
        <f aca="false">IFERROR(IF(Members!A137="","",Members!B137),"")</f>
        <v/>
      </c>
      <c r="C140" s="17" t="str">
        <f aca="false">IFERROR(IF(Members!A137="","",Members!C137),"")</f>
        <v/>
      </c>
      <c r="D140" s="17" t="str">
        <f aca="false">IFERROR(IF(Members!A137="","",Members!D137),"")</f>
        <v/>
      </c>
      <c r="E140" s="17" t="str">
        <f aca="false">IF(A140="","",COUNTIF(Completions!A:A,A140))</f>
        <v/>
      </c>
      <c r="F140" s="17" t="str">
        <f aca="false">IF(A140="","",SUMPRODUCT((Completions!A$2:A$5000=A140)*IFERROR(VLOOKUP(Completions!B$2:B$5000,$J$4:$K$18,2,FALSE()),0)))</f>
        <v/>
      </c>
      <c r="G140" s="17" t="str">
        <f aca="false">IF(A140="","",IF(F140&gt;=20,"Gold",IF(F140&gt;=14,"Silver",IF(F140&gt;=8,"Bronze","—"))))</f>
        <v/>
      </c>
      <c r="H140" s="17" t="str">
        <f aca="false">IF(A140="","",IFERROR(TEXT(maxifs(Completions!G:G,Completions!A:A,A140),"yyyy-mm-dd hh:mm"),"—"))</f>
        <v/>
      </c>
    </row>
    <row r="141" customFormat="false" ht="21.75" hidden="false" customHeight="true" outlineLevel="0" collapsed="false">
      <c r="A141" s="16" t="str">
        <f aca="false">IFERROR(IF(Members!A138="","",Members!A138),"")</f>
        <v/>
      </c>
      <c r="B141" s="16" t="str">
        <f aca="false">IFERROR(IF(Members!A138="","",Members!B138),"")</f>
        <v/>
      </c>
      <c r="C141" s="16" t="str">
        <f aca="false">IFERROR(IF(Members!A138="","",Members!C138),"")</f>
        <v/>
      </c>
      <c r="D141" s="16" t="str">
        <f aca="false">IFERROR(IF(Members!A138="","",Members!D138),"")</f>
        <v/>
      </c>
      <c r="E141" s="16" t="str">
        <f aca="false">IF(A141="","",COUNTIF(Completions!A:A,A141))</f>
        <v/>
      </c>
      <c r="F141" s="16" t="str">
        <f aca="false">IF(A141="","",SUMPRODUCT((Completions!A$2:A$5000=A141)*IFERROR(VLOOKUP(Completions!B$2:B$5000,$J$4:$K$18,2,FALSE()),0)))</f>
        <v/>
      </c>
      <c r="G141" s="16" t="str">
        <f aca="false">IF(A141="","",IF(F141&gt;=20,"Gold",IF(F141&gt;=14,"Silver",IF(F141&gt;=8,"Bronze","—"))))</f>
        <v/>
      </c>
      <c r="H141" s="16" t="str">
        <f aca="false">IF(A141="","",IFERROR(TEXT(maxifs(Completions!G:G,Completions!A:A,A141),"yyyy-mm-dd hh:mm"),"—"))</f>
        <v/>
      </c>
    </row>
    <row r="142" customFormat="false" ht="21.75" hidden="false" customHeight="true" outlineLevel="0" collapsed="false">
      <c r="A142" s="17" t="str">
        <f aca="false">IFERROR(IF(Members!A139="","",Members!A139),"")</f>
        <v/>
      </c>
      <c r="B142" s="17" t="str">
        <f aca="false">IFERROR(IF(Members!A139="","",Members!B139),"")</f>
        <v/>
      </c>
      <c r="C142" s="17" t="str">
        <f aca="false">IFERROR(IF(Members!A139="","",Members!C139),"")</f>
        <v/>
      </c>
      <c r="D142" s="17" t="str">
        <f aca="false">IFERROR(IF(Members!A139="","",Members!D139),"")</f>
        <v/>
      </c>
      <c r="E142" s="17" t="str">
        <f aca="false">IF(A142="","",COUNTIF(Completions!A:A,A142))</f>
        <v/>
      </c>
      <c r="F142" s="17" t="str">
        <f aca="false">IF(A142="","",SUMPRODUCT((Completions!A$2:A$5000=A142)*IFERROR(VLOOKUP(Completions!B$2:B$5000,$J$4:$K$18,2,FALSE()),0)))</f>
        <v/>
      </c>
      <c r="G142" s="17" t="str">
        <f aca="false">IF(A142="","",IF(F142&gt;=20,"Gold",IF(F142&gt;=14,"Silver",IF(F142&gt;=8,"Bronze","—"))))</f>
        <v/>
      </c>
      <c r="H142" s="17" t="str">
        <f aca="false">IF(A142="","",IFERROR(TEXT(maxifs(Completions!G:G,Completions!A:A,A142),"yyyy-mm-dd hh:mm"),"—"))</f>
        <v/>
      </c>
    </row>
    <row r="143" customFormat="false" ht="21.75" hidden="false" customHeight="true" outlineLevel="0" collapsed="false">
      <c r="A143" s="16" t="str">
        <f aca="false">IFERROR(IF(Members!A140="","",Members!A140),"")</f>
        <v/>
      </c>
      <c r="B143" s="16" t="str">
        <f aca="false">IFERROR(IF(Members!A140="","",Members!B140),"")</f>
        <v/>
      </c>
      <c r="C143" s="16" t="str">
        <f aca="false">IFERROR(IF(Members!A140="","",Members!C140),"")</f>
        <v/>
      </c>
      <c r="D143" s="16" t="str">
        <f aca="false">IFERROR(IF(Members!A140="","",Members!D140),"")</f>
        <v/>
      </c>
      <c r="E143" s="16" t="str">
        <f aca="false">IF(A143="","",COUNTIF(Completions!A:A,A143))</f>
        <v/>
      </c>
      <c r="F143" s="16" t="str">
        <f aca="false">IF(A143="","",SUMPRODUCT((Completions!A$2:A$5000=A143)*IFERROR(VLOOKUP(Completions!B$2:B$5000,$J$4:$K$18,2,FALSE()),0)))</f>
        <v/>
      </c>
      <c r="G143" s="16" t="str">
        <f aca="false">IF(A143="","",IF(F143&gt;=20,"Gold",IF(F143&gt;=14,"Silver",IF(F143&gt;=8,"Bronze","—"))))</f>
        <v/>
      </c>
      <c r="H143" s="16" t="str">
        <f aca="false">IF(A143="","",IFERROR(TEXT(maxifs(Completions!G:G,Completions!A:A,A143),"yyyy-mm-dd hh:mm"),"—"))</f>
        <v/>
      </c>
    </row>
    <row r="144" customFormat="false" ht="21.75" hidden="false" customHeight="true" outlineLevel="0" collapsed="false">
      <c r="A144" s="17" t="str">
        <f aca="false">IFERROR(IF(Members!A141="","",Members!A141),"")</f>
        <v/>
      </c>
      <c r="B144" s="17" t="str">
        <f aca="false">IFERROR(IF(Members!A141="","",Members!B141),"")</f>
        <v/>
      </c>
      <c r="C144" s="17" t="str">
        <f aca="false">IFERROR(IF(Members!A141="","",Members!C141),"")</f>
        <v/>
      </c>
      <c r="D144" s="17" t="str">
        <f aca="false">IFERROR(IF(Members!A141="","",Members!D141),"")</f>
        <v/>
      </c>
      <c r="E144" s="17" t="str">
        <f aca="false">IF(A144="","",COUNTIF(Completions!A:A,A144))</f>
        <v/>
      </c>
      <c r="F144" s="17" t="str">
        <f aca="false">IF(A144="","",SUMPRODUCT((Completions!A$2:A$5000=A144)*IFERROR(VLOOKUP(Completions!B$2:B$5000,$J$4:$K$18,2,FALSE()),0)))</f>
        <v/>
      </c>
      <c r="G144" s="17" t="str">
        <f aca="false">IF(A144="","",IF(F144&gt;=20,"Gold",IF(F144&gt;=14,"Silver",IF(F144&gt;=8,"Bronze","—"))))</f>
        <v/>
      </c>
      <c r="H144" s="17" t="str">
        <f aca="false">IF(A144="","",IFERROR(TEXT(maxifs(Completions!G:G,Completions!A:A,A144),"yyyy-mm-dd hh:mm"),"—"))</f>
        <v/>
      </c>
    </row>
    <row r="145" customFormat="false" ht="21.75" hidden="false" customHeight="true" outlineLevel="0" collapsed="false">
      <c r="A145" s="16" t="str">
        <f aca="false">IFERROR(IF(Members!A142="","",Members!A142),"")</f>
        <v/>
      </c>
      <c r="B145" s="16" t="str">
        <f aca="false">IFERROR(IF(Members!A142="","",Members!B142),"")</f>
        <v/>
      </c>
      <c r="C145" s="16" t="str">
        <f aca="false">IFERROR(IF(Members!A142="","",Members!C142),"")</f>
        <v/>
      </c>
      <c r="D145" s="16" t="str">
        <f aca="false">IFERROR(IF(Members!A142="","",Members!D142),"")</f>
        <v/>
      </c>
      <c r="E145" s="16" t="str">
        <f aca="false">IF(A145="","",COUNTIF(Completions!A:A,A145))</f>
        <v/>
      </c>
      <c r="F145" s="16" t="str">
        <f aca="false">IF(A145="","",SUMPRODUCT((Completions!A$2:A$5000=A145)*IFERROR(VLOOKUP(Completions!B$2:B$5000,$J$4:$K$18,2,FALSE()),0)))</f>
        <v/>
      </c>
      <c r="G145" s="16" t="str">
        <f aca="false">IF(A145="","",IF(F145&gt;=20,"Gold",IF(F145&gt;=14,"Silver",IF(F145&gt;=8,"Bronze","—"))))</f>
        <v/>
      </c>
      <c r="H145" s="16" t="str">
        <f aca="false">IF(A145="","",IFERROR(TEXT(maxifs(Completions!G:G,Completions!A:A,A145),"yyyy-mm-dd hh:mm"),"—"))</f>
        <v/>
      </c>
    </row>
    <row r="146" customFormat="false" ht="21.75" hidden="false" customHeight="true" outlineLevel="0" collapsed="false">
      <c r="A146" s="17" t="str">
        <f aca="false">IFERROR(IF(Members!A143="","",Members!A143),"")</f>
        <v/>
      </c>
      <c r="B146" s="17" t="str">
        <f aca="false">IFERROR(IF(Members!A143="","",Members!B143),"")</f>
        <v/>
      </c>
      <c r="C146" s="17" t="str">
        <f aca="false">IFERROR(IF(Members!A143="","",Members!C143),"")</f>
        <v/>
      </c>
      <c r="D146" s="17" t="str">
        <f aca="false">IFERROR(IF(Members!A143="","",Members!D143),"")</f>
        <v/>
      </c>
      <c r="E146" s="17" t="str">
        <f aca="false">IF(A146="","",COUNTIF(Completions!A:A,A146))</f>
        <v/>
      </c>
      <c r="F146" s="17" t="str">
        <f aca="false">IF(A146="","",SUMPRODUCT((Completions!A$2:A$5000=A146)*IFERROR(VLOOKUP(Completions!B$2:B$5000,$J$4:$K$18,2,FALSE()),0)))</f>
        <v/>
      </c>
      <c r="G146" s="17" t="str">
        <f aca="false">IF(A146="","",IF(F146&gt;=20,"Gold",IF(F146&gt;=14,"Silver",IF(F146&gt;=8,"Bronze","—"))))</f>
        <v/>
      </c>
      <c r="H146" s="17" t="str">
        <f aca="false">IF(A146="","",IFERROR(TEXT(maxifs(Completions!G:G,Completions!A:A,A146),"yyyy-mm-dd hh:mm"),"—"))</f>
        <v/>
      </c>
    </row>
    <row r="147" customFormat="false" ht="21.75" hidden="false" customHeight="true" outlineLevel="0" collapsed="false">
      <c r="A147" s="16" t="str">
        <f aca="false">IFERROR(IF(Members!A144="","",Members!A144),"")</f>
        <v/>
      </c>
      <c r="B147" s="16" t="str">
        <f aca="false">IFERROR(IF(Members!A144="","",Members!B144),"")</f>
        <v/>
      </c>
      <c r="C147" s="16" t="str">
        <f aca="false">IFERROR(IF(Members!A144="","",Members!C144),"")</f>
        <v/>
      </c>
      <c r="D147" s="16" t="str">
        <f aca="false">IFERROR(IF(Members!A144="","",Members!D144),"")</f>
        <v/>
      </c>
      <c r="E147" s="16" t="str">
        <f aca="false">IF(A147="","",COUNTIF(Completions!A:A,A147))</f>
        <v/>
      </c>
      <c r="F147" s="16" t="str">
        <f aca="false">IF(A147="","",SUMPRODUCT((Completions!A$2:A$5000=A147)*IFERROR(VLOOKUP(Completions!B$2:B$5000,$J$4:$K$18,2,FALSE()),0)))</f>
        <v/>
      </c>
      <c r="G147" s="16" t="str">
        <f aca="false">IF(A147="","",IF(F147&gt;=20,"Gold",IF(F147&gt;=14,"Silver",IF(F147&gt;=8,"Bronze","—"))))</f>
        <v/>
      </c>
      <c r="H147" s="16" t="str">
        <f aca="false">IF(A147="","",IFERROR(TEXT(maxifs(Completions!G:G,Completions!A:A,A147),"yyyy-mm-dd hh:mm"),"—"))</f>
        <v/>
      </c>
    </row>
    <row r="148" customFormat="false" ht="21.75" hidden="false" customHeight="true" outlineLevel="0" collapsed="false">
      <c r="A148" s="17" t="str">
        <f aca="false">IFERROR(IF(Members!A145="","",Members!A145),"")</f>
        <v/>
      </c>
      <c r="B148" s="17" t="str">
        <f aca="false">IFERROR(IF(Members!A145="","",Members!B145),"")</f>
        <v/>
      </c>
      <c r="C148" s="17" t="str">
        <f aca="false">IFERROR(IF(Members!A145="","",Members!C145),"")</f>
        <v/>
      </c>
      <c r="D148" s="17" t="str">
        <f aca="false">IFERROR(IF(Members!A145="","",Members!D145),"")</f>
        <v/>
      </c>
      <c r="E148" s="17" t="str">
        <f aca="false">IF(A148="","",COUNTIF(Completions!A:A,A148))</f>
        <v/>
      </c>
      <c r="F148" s="17" t="str">
        <f aca="false">IF(A148="","",SUMPRODUCT((Completions!A$2:A$5000=A148)*IFERROR(VLOOKUP(Completions!B$2:B$5000,$J$4:$K$18,2,FALSE()),0)))</f>
        <v/>
      </c>
      <c r="G148" s="17" t="str">
        <f aca="false">IF(A148="","",IF(F148&gt;=20,"Gold",IF(F148&gt;=14,"Silver",IF(F148&gt;=8,"Bronze","—"))))</f>
        <v/>
      </c>
      <c r="H148" s="17" t="str">
        <f aca="false">IF(A148="","",IFERROR(TEXT(maxifs(Completions!G:G,Completions!A:A,A148),"yyyy-mm-dd hh:mm"),"—"))</f>
        <v/>
      </c>
    </row>
    <row r="149" customFormat="false" ht="21.75" hidden="false" customHeight="true" outlineLevel="0" collapsed="false">
      <c r="A149" s="16" t="str">
        <f aca="false">IFERROR(IF(Members!A146="","",Members!A146),"")</f>
        <v/>
      </c>
      <c r="B149" s="16" t="str">
        <f aca="false">IFERROR(IF(Members!A146="","",Members!B146),"")</f>
        <v/>
      </c>
      <c r="C149" s="16" t="str">
        <f aca="false">IFERROR(IF(Members!A146="","",Members!C146),"")</f>
        <v/>
      </c>
      <c r="D149" s="16" t="str">
        <f aca="false">IFERROR(IF(Members!A146="","",Members!D146),"")</f>
        <v/>
      </c>
      <c r="E149" s="16" t="str">
        <f aca="false">IF(A149="","",COUNTIF(Completions!A:A,A149))</f>
        <v/>
      </c>
      <c r="F149" s="16" t="str">
        <f aca="false">IF(A149="","",SUMPRODUCT((Completions!A$2:A$5000=A149)*IFERROR(VLOOKUP(Completions!B$2:B$5000,$J$4:$K$18,2,FALSE()),0)))</f>
        <v/>
      </c>
      <c r="G149" s="16" t="str">
        <f aca="false">IF(A149="","",IF(F149&gt;=20,"Gold",IF(F149&gt;=14,"Silver",IF(F149&gt;=8,"Bronze","—"))))</f>
        <v/>
      </c>
      <c r="H149" s="16" t="str">
        <f aca="false">IF(A149="","",IFERROR(TEXT(maxifs(Completions!G:G,Completions!A:A,A149),"yyyy-mm-dd hh:mm"),"—"))</f>
        <v/>
      </c>
    </row>
    <row r="150" customFormat="false" ht="21.75" hidden="false" customHeight="true" outlineLevel="0" collapsed="false">
      <c r="A150" s="17" t="str">
        <f aca="false">IFERROR(IF(Members!A147="","",Members!A147),"")</f>
        <v/>
      </c>
      <c r="B150" s="17" t="str">
        <f aca="false">IFERROR(IF(Members!A147="","",Members!B147),"")</f>
        <v/>
      </c>
      <c r="C150" s="17" t="str">
        <f aca="false">IFERROR(IF(Members!A147="","",Members!C147),"")</f>
        <v/>
      </c>
      <c r="D150" s="17" t="str">
        <f aca="false">IFERROR(IF(Members!A147="","",Members!D147),"")</f>
        <v/>
      </c>
      <c r="E150" s="17" t="str">
        <f aca="false">IF(A150="","",COUNTIF(Completions!A:A,A150))</f>
        <v/>
      </c>
      <c r="F150" s="17" t="str">
        <f aca="false">IF(A150="","",SUMPRODUCT((Completions!A$2:A$5000=A150)*IFERROR(VLOOKUP(Completions!B$2:B$5000,$J$4:$K$18,2,FALSE()),0)))</f>
        <v/>
      </c>
      <c r="G150" s="17" t="str">
        <f aca="false">IF(A150="","",IF(F150&gt;=20,"Gold",IF(F150&gt;=14,"Silver",IF(F150&gt;=8,"Bronze","—"))))</f>
        <v/>
      </c>
      <c r="H150" s="17" t="str">
        <f aca="false">IF(A150="","",IFERROR(TEXT(maxifs(Completions!G:G,Completions!A:A,A150),"yyyy-mm-dd hh:mm"),"—"))</f>
        <v/>
      </c>
    </row>
    <row r="151" customFormat="false" ht="21.75" hidden="false" customHeight="true" outlineLevel="0" collapsed="false">
      <c r="A151" s="16" t="str">
        <f aca="false">IFERROR(IF(Members!A148="","",Members!A148),"")</f>
        <v/>
      </c>
      <c r="B151" s="16" t="str">
        <f aca="false">IFERROR(IF(Members!A148="","",Members!B148),"")</f>
        <v/>
      </c>
      <c r="C151" s="16" t="str">
        <f aca="false">IFERROR(IF(Members!A148="","",Members!C148),"")</f>
        <v/>
      </c>
      <c r="D151" s="16" t="str">
        <f aca="false">IFERROR(IF(Members!A148="","",Members!D148),"")</f>
        <v/>
      </c>
      <c r="E151" s="16" t="str">
        <f aca="false">IF(A151="","",COUNTIF(Completions!A:A,A151))</f>
        <v/>
      </c>
      <c r="F151" s="16" t="str">
        <f aca="false">IF(A151="","",SUMPRODUCT((Completions!A$2:A$5000=A151)*IFERROR(VLOOKUP(Completions!B$2:B$5000,$J$4:$K$18,2,FALSE()),0)))</f>
        <v/>
      </c>
      <c r="G151" s="16" t="str">
        <f aca="false">IF(A151="","",IF(F151&gt;=20,"Gold",IF(F151&gt;=14,"Silver",IF(F151&gt;=8,"Bronze","—"))))</f>
        <v/>
      </c>
      <c r="H151" s="16" t="str">
        <f aca="false">IF(A151="","",IFERROR(TEXT(maxifs(Completions!G:G,Completions!A:A,A151),"yyyy-mm-dd hh:mm"),"—"))</f>
        <v/>
      </c>
    </row>
    <row r="152" customFormat="false" ht="21.75" hidden="false" customHeight="true" outlineLevel="0" collapsed="false">
      <c r="A152" s="17" t="str">
        <f aca="false">IFERROR(IF(Members!A149="","",Members!A149),"")</f>
        <v/>
      </c>
      <c r="B152" s="17" t="str">
        <f aca="false">IFERROR(IF(Members!A149="","",Members!B149),"")</f>
        <v/>
      </c>
      <c r="C152" s="17" t="str">
        <f aca="false">IFERROR(IF(Members!A149="","",Members!C149),"")</f>
        <v/>
      </c>
      <c r="D152" s="17" t="str">
        <f aca="false">IFERROR(IF(Members!A149="","",Members!D149),"")</f>
        <v/>
      </c>
      <c r="E152" s="17" t="str">
        <f aca="false">IF(A152="","",COUNTIF(Completions!A:A,A152))</f>
        <v/>
      </c>
      <c r="F152" s="17" t="str">
        <f aca="false">IF(A152="","",SUMPRODUCT((Completions!A$2:A$5000=A152)*IFERROR(VLOOKUP(Completions!B$2:B$5000,$J$4:$K$18,2,FALSE()),0)))</f>
        <v/>
      </c>
      <c r="G152" s="17" t="str">
        <f aca="false">IF(A152="","",IF(F152&gt;=20,"Gold",IF(F152&gt;=14,"Silver",IF(F152&gt;=8,"Bronze","—"))))</f>
        <v/>
      </c>
      <c r="H152" s="17" t="str">
        <f aca="false">IF(A152="","",IFERROR(TEXT(maxifs(Completions!G:G,Completions!A:A,A152),"yyyy-mm-dd hh:mm"),"—"))</f>
        <v/>
      </c>
    </row>
    <row r="153" customFormat="false" ht="21.75" hidden="false" customHeight="true" outlineLevel="0" collapsed="false">
      <c r="A153" s="16" t="str">
        <f aca="false">IFERROR(IF(Members!A150="","",Members!A150),"")</f>
        <v/>
      </c>
      <c r="B153" s="16" t="str">
        <f aca="false">IFERROR(IF(Members!A150="","",Members!B150),"")</f>
        <v/>
      </c>
      <c r="C153" s="16" t="str">
        <f aca="false">IFERROR(IF(Members!A150="","",Members!C150),"")</f>
        <v/>
      </c>
      <c r="D153" s="16" t="str">
        <f aca="false">IFERROR(IF(Members!A150="","",Members!D150),"")</f>
        <v/>
      </c>
      <c r="E153" s="16" t="str">
        <f aca="false">IF(A153="","",COUNTIF(Completions!A:A,A153))</f>
        <v/>
      </c>
      <c r="F153" s="16" t="str">
        <f aca="false">IF(A153="","",SUMPRODUCT((Completions!A$2:A$5000=A153)*IFERROR(VLOOKUP(Completions!B$2:B$5000,$J$4:$K$18,2,FALSE()),0)))</f>
        <v/>
      </c>
      <c r="G153" s="16" t="str">
        <f aca="false">IF(A153="","",IF(F153&gt;=20,"Gold",IF(F153&gt;=14,"Silver",IF(F153&gt;=8,"Bronze","—"))))</f>
        <v/>
      </c>
      <c r="H153" s="16" t="str">
        <f aca="false">IF(A153="","",IFERROR(TEXT(maxifs(Completions!G:G,Completions!A:A,A153),"yyyy-mm-dd hh:mm"),"—"))</f>
        <v/>
      </c>
    </row>
    <row r="154" customFormat="false" ht="21.75" hidden="false" customHeight="true" outlineLevel="0" collapsed="false">
      <c r="A154" s="17" t="str">
        <f aca="false">IFERROR(IF(Members!A151="","",Members!A151),"")</f>
        <v/>
      </c>
      <c r="B154" s="17" t="str">
        <f aca="false">IFERROR(IF(Members!A151="","",Members!B151),"")</f>
        <v/>
      </c>
      <c r="C154" s="17" t="str">
        <f aca="false">IFERROR(IF(Members!A151="","",Members!C151),"")</f>
        <v/>
      </c>
      <c r="D154" s="17" t="str">
        <f aca="false">IFERROR(IF(Members!A151="","",Members!D151),"")</f>
        <v/>
      </c>
      <c r="E154" s="17" t="str">
        <f aca="false">IF(A154="","",COUNTIF(Completions!A:A,A154))</f>
        <v/>
      </c>
      <c r="F154" s="17" t="str">
        <f aca="false">IF(A154="","",SUMPRODUCT((Completions!A$2:A$5000=A154)*IFERROR(VLOOKUP(Completions!B$2:B$5000,$J$4:$K$18,2,FALSE()),0)))</f>
        <v/>
      </c>
      <c r="G154" s="17" t="str">
        <f aca="false">IF(A154="","",IF(F154&gt;=20,"Gold",IF(F154&gt;=14,"Silver",IF(F154&gt;=8,"Bronze","—"))))</f>
        <v/>
      </c>
      <c r="H154" s="17" t="str">
        <f aca="false">IF(A154="","",IFERROR(TEXT(maxifs(Completions!G:G,Completions!A:A,A154),"yyyy-mm-dd hh:mm"),"—"))</f>
        <v/>
      </c>
    </row>
    <row r="155" customFormat="false" ht="21.75" hidden="false" customHeight="true" outlineLevel="0" collapsed="false">
      <c r="A155" s="16" t="str">
        <f aca="false">IFERROR(IF(Members!A152="","",Members!A152),"")</f>
        <v/>
      </c>
      <c r="B155" s="16" t="str">
        <f aca="false">IFERROR(IF(Members!A152="","",Members!B152),"")</f>
        <v/>
      </c>
      <c r="C155" s="16" t="str">
        <f aca="false">IFERROR(IF(Members!A152="","",Members!C152),"")</f>
        <v/>
      </c>
      <c r="D155" s="16" t="str">
        <f aca="false">IFERROR(IF(Members!A152="","",Members!D152),"")</f>
        <v/>
      </c>
      <c r="E155" s="16" t="str">
        <f aca="false">IF(A155="","",COUNTIF(Completions!A:A,A155))</f>
        <v/>
      </c>
      <c r="F155" s="16" t="str">
        <f aca="false">IF(A155="","",SUMPRODUCT((Completions!A$2:A$5000=A155)*IFERROR(VLOOKUP(Completions!B$2:B$5000,$J$4:$K$18,2,FALSE()),0)))</f>
        <v/>
      </c>
      <c r="G155" s="16" t="str">
        <f aca="false">IF(A155="","",IF(F155&gt;=20,"Gold",IF(F155&gt;=14,"Silver",IF(F155&gt;=8,"Bronze","—"))))</f>
        <v/>
      </c>
      <c r="H155" s="16" t="str">
        <f aca="false">IF(A155="","",IFERROR(TEXT(maxifs(Completions!G:G,Completions!A:A,A155),"yyyy-mm-dd hh:mm"),"—"))</f>
        <v/>
      </c>
    </row>
    <row r="156" customFormat="false" ht="21.75" hidden="false" customHeight="true" outlineLevel="0" collapsed="false">
      <c r="A156" s="17" t="str">
        <f aca="false">IFERROR(IF(Members!A153="","",Members!A153),"")</f>
        <v/>
      </c>
      <c r="B156" s="17" t="str">
        <f aca="false">IFERROR(IF(Members!A153="","",Members!B153),"")</f>
        <v/>
      </c>
      <c r="C156" s="17" t="str">
        <f aca="false">IFERROR(IF(Members!A153="","",Members!C153),"")</f>
        <v/>
      </c>
      <c r="D156" s="17" t="str">
        <f aca="false">IFERROR(IF(Members!A153="","",Members!D153),"")</f>
        <v/>
      </c>
      <c r="E156" s="17" t="str">
        <f aca="false">IF(A156="","",COUNTIF(Completions!A:A,A156))</f>
        <v/>
      </c>
      <c r="F156" s="17" t="str">
        <f aca="false">IF(A156="","",SUMPRODUCT((Completions!A$2:A$5000=A156)*IFERROR(VLOOKUP(Completions!B$2:B$5000,$J$4:$K$18,2,FALSE()),0)))</f>
        <v/>
      </c>
      <c r="G156" s="17" t="str">
        <f aca="false">IF(A156="","",IF(F156&gt;=20,"Gold",IF(F156&gt;=14,"Silver",IF(F156&gt;=8,"Bronze","—"))))</f>
        <v/>
      </c>
      <c r="H156" s="17" t="str">
        <f aca="false">IF(A156="","",IFERROR(TEXT(maxifs(Completions!G:G,Completions!A:A,A156),"yyyy-mm-dd hh:mm"),"—"))</f>
        <v/>
      </c>
    </row>
    <row r="157" customFormat="false" ht="21.75" hidden="false" customHeight="true" outlineLevel="0" collapsed="false">
      <c r="A157" s="16" t="str">
        <f aca="false">IFERROR(IF(Members!A154="","",Members!A154),"")</f>
        <v/>
      </c>
      <c r="B157" s="16" t="str">
        <f aca="false">IFERROR(IF(Members!A154="","",Members!B154),"")</f>
        <v/>
      </c>
      <c r="C157" s="16" t="str">
        <f aca="false">IFERROR(IF(Members!A154="","",Members!C154),"")</f>
        <v/>
      </c>
      <c r="D157" s="16" t="str">
        <f aca="false">IFERROR(IF(Members!A154="","",Members!D154),"")</f>
        <v/>
      </c>
      <c r="E157" s="16" t="str">
        <f aca="false">IF(A157="","",COUNTIF(Completions!A:A,A157))</f>
        <v/>
      </c>
      <c r="F157" s="16" t="str">
        <f aca="false">IF(A157="","",SUMPRODUCT((Completions!A$2:A$5000=A157)*IFERROR(VLOOKUP(Completions!B$2:B$5000,$J$4:$K$18,2,FALSE()),0)))</f>
        <v/>
      </c>
      <c r="G157" s="16" t="str">
        <f aca="false">IF(A157="","",IF(F157&gt;=20,"Gold",IF(F157&gt;=14,"Silver",IF(F157&gt;=8,"Bronze","—"))))</f>
        <v/>
      </c>
      <c r="H157" s="16" t="str">
        <f aca="false">IF(A157="","",IFERROR(TEXT(maxifs(Completions!G:G,Completions!A:A,A157),"yyyy-mm-dd hh:mm"),"—"))</f>
        <v/>
      </c>
    </row>
    <row r="158" customFormat="false" ht="21.75" hidden="false" customHeight="true" outlineLevel="0" collapsed="false">
      <c r="A158" s="17" t="str">
        <f aca="false">IFERROR(IF(Members!A155="","",Members!A155),"")</f>
        <v/>
      </c>
      <c r="B158" s="17" t="str">
        <f aca="false">IFERROR(IF(Members!A155="","",Members!B155),"")</f>
        <v/>
      </c>
      <c r="C158" s="17" t="str">
        <f aca="false">IFERROR(IF(Members!A155="","",Members!C155),"")</f>
        <v/>
      </c>
      <c r="D158" s="17" t="str">
        <f aca="false">IFERROR(IF(Members!A155="","",Members!D155),"")</f>
        <v/>
      </c>
      <c r="E158" s="17" t="str">
        <f aca="false">IF(A158="","",COUNTIF(Completions!A:A,A158))</f>
        <v/>
      </c>
      <c r="F158" s="17" t="str">
        <f aca="false">IF(A158="","",SUMPRODUCT((Completions!A$2:A$5000=A158)*IFERROR(VLOOKUP(Completions!B$2:B$5000,$J$4:$K$18,2,FALSE()),0)))</f>
        <v/>
      </c>
      <c r="G158" s="17" t="str">
        <f aca="false">IF(A158="","",IF(F158&gt;=20,"Gold",IF(F158&gt;=14,"Silver",IF(F158&gt;=8,"Bronze","—"))))</f>
        <v/>
      </c>
      <c r="H158" s="17" t="str">
        <f aca="false">IF(A158="","",IFERROR(TEXT(maxifs(Completions!G:G,Completions!A:A,A158),"yyyy-mm-dd hh:mm"),"—"))</f>
        <v/>
      </c>
    </row>
    <row r="159" customFormat="false" ht="21.75" hidden="false" customHeight="true" outlineLevel="0" collapsed="false">
      <c r="A159" s="16" t="str">
        <f aca="false">IFERROR(IF(Members!A156="","",Members!A156),"")</f>
        <v/>
      </c>
      <c r="B159" s="16" t="str">
        <f aca="false">IFERROR(IF(Members!A156="","",Members!B156),"")</f>
        <v/>
      </c>
      <c r="C159" s="16" t="str">
        <f aca="false">IFERROR(IF(Members!A156="","",Members!C156),"")</f>
        <v/>
      </c>
      <c r="D159" s="16" t="str">
        <f aca="false">IFERROR(IF(Members!A156="","",Members!D156),"")</f>
        <v/>
      </c>
      <c r="E159" s="16" t="str">
        <f aca="false">IF(A159="","",COUNTIF(Completions!A:A,A159))</f>
        <v/>
      </c>
      <c r="F159" s="16" t="str">
        <f aca="false">IF(A159="","",SUMPRODUCT((Completions!A$2:A$5000=A159)*IFERROR(VLOOKUP(Completions!B$2:B$5000,$J$4:$K$18,2,FALSE()),0)))</f>
        <v/>
      </c>
      <c r="G159" s="16" t="str">
        <f aca="false">IF(A159="","",IF(F159&gt;=20,"Gold",IF(F159&gt;=14,"Silver",IF(F159&gt;=8,"Bronze","—"))))</f>
        <v/>
      </c>
      <c r="H159" s="16" t="str">
        <f aca="false">IF(A159="","",IFERROR(TEXT(maxifs(Completions!G:G,Completions!A:A,A159),"yyyy-mm-dd hh:mm"),"—"))</f>
        <v/>
      </c>
    </row>
    <row r="160" customFormat="false" ht="21.75" hidden="false" customHeight="true" outlineLevel="0" collapsed="false">
      <c r="A160" s="17" t="str">
        <f aca="false">IFERROR(IF(Members!A157="","",Members!A157),"")</f>
        <v/>
      </c>
      <c r="B160" s="17" t="str">
        <f aca="false">IFERROR(IF(Members!A157="","",Members!B157),"")</f>
        <v/>
      </c>
      <c r="C160" s="17" t="str">
        <f aca="false">IFERROR(IF(Members!A157="","",Members!C157),"")</f>
        <v/>
      </c>
      <c r="D160" s="17" t="str">
        <f aca="false">IFERROR(IF(Members!A157="","",Members!D157),"")</f>
        <v/>
      </c>
      <c r="E160" s="17" t="str">
        <f aca="false">IF(A160="","",COUNTIF(Completions!A:A,A160))</f>
        <v/>
      </c>
      <c r="F160" s="17" t="str">
        <f aca="false">IF(A160="","",SUMPRODUCT((Completions!A$2:A$5000=A160)*IFERROR(VLOOKUP(Completions!B$2:B$5000,$J$4:$K$18,2,FALSE()),0)))</f>
        <v/>
      </c>
      <c r="G160" s="17" t="str">
        <f aca="false">IF(A160="","",IF(F160&gt;=20,"Gold",IF(F160&gt;=14,"Silver",IF(F160&gt;=8,"Bronze","—"))))</f>
        <v/>
      </c>
      <c r="H160" s="17" t="str">
        <f aca="false">IF(A160="","",IFERROR(TEXT(maxifs(Completions!G:G,Completions!A:A,A160),"yyyy-mm-dd hh:mm"),"—"))</f>
        <v/>
      </c>
    </row>
    <row r="161" customFormat="false" ht="21.75" hidden="false" customHeight="true" outlineLevel="0" collapsed="false">
      <c r="A161" s="16" t="str">
        <f aca="false">IFERROR(IF(Members!A158="","",Members!A158),"")</f>
        <v/>
      </c>
      <c r="B161" s="16" t="str">
        <f aca="false">IFERROR(IF(Members!A158="","",Members!B158),"")</f>
        <v/>
      </c>
      <c r="C161" s="16" t="str">
        <f aca="false">IFERROR(IF(Members!A158="","",Members!C158),"")</f>
        <v/>
      </c>
      <c r="D161" s="16" t="str">
        <f aca="false">IFERROR(IF(Members!A158="","",Members!D158),"")</f>
        <v/>
      </c>
      <c r="E161" s="16" t="str">
        <f aca="false">IF(A161="","",COUNTIF(Completions!A:A,A161))</f>
        <v/>
      </c>
      <c r="F161" s="16" t="str">
        <f aca="false">IF(A161="","",SUMPRODUCT((Completions!A$2:A$5000=A161)*IFERROR(VLOOKUP(Completions!B$2:B$5000,$J$4:$K$18,2,FALSE()),0)))</f>
        <v/>
      </c>
      <c r="G161" s="16" t="str">
        <f aca="false">IF(A161="","",IF(F161&gt;=20,"Gold",IF(F161&gt;=14,"Silver",IF(F161&gt;=8,"Bronze","—"))))</f>
        <v/>
      </c>
      <c r="H161" s="16" t="str">
        <f aca="false">IF(A161="","",IFERROR(TEXT(maxifs(Completions!G:G,Completions!A:A,A161),"yyyy-mm-dd hh:mm"),"—"))</f>
        <v/>
      </c>
    </row>
    <row r="162" customFormat="false" ht="21.75" hidden="false" customHeight="true" outlineLevel="0" collapsed="false">
      <c r="A162" s="17" t="str">
        <f aca="false">IFERROR(IF(Members!A159="","",Members!A159),"")</f>
        <v/>
      </c>
      <c r="B162" s="17" t="str">
        <f aca="false">IFERROR(IF(Members!A159="","",Members!B159),"")</f>
        <v/>
      </c>
      <c r="C162" s="17" t="str">
        <f aca="false">IFERROR(IF(Members!A159="","",Members!C159),"")</f>
        <v/>
      </c>
      <c r="D162" s="17" t="str">
        <f aca="false">IFERROR(IF(Members!A159="","",Members!D159),"")</f>
        <v/>
      </c>
      <c r="E162" s="17" t="str">
        <f aca="false">IF(A162="","",COUNTIF(Completions!A:A,A162))</f>
        <v/>
      </c>
      <c r="F162" s="17" t="str">
        <f aca="false">IF(A162="","",SUMPRODUCT((Completions!A$2:A$5000=A162)*IFERROR(VLOOKUP(Completions!B$2:B$5000,$J$4:$K$18,2,FALSE()),0)))</f>
        <v/>
      </c>
      <c r="G162" s="17" t="str">
        <f aca="false">IF(A162="","",IF(F162&gt;=20,"Gold",IF(F162&gt;=14,"Silver",IF(F162&gt;=8,"Bronze","—"))))</f>
        <v/>
      </c>
      <c r="H162" s="17" t="str">
        <f aca="false">IF(A162="","",IFERROR(TEXT(maxifs(Completions!G:G,Completions!A:A,A162),"yyyy-mm-dd hh:mm"),"—"))</f>
        <v/>
      </c>
    </row>
    <row r="163" customFormat="false" ht="21.75" hidden="false" customHeight="true" outlineLevel="0" collapsed="false">
      <c r="A163" s="16" t="str">
        <f aca="false">IFERROR(IF(Members!A160="","",Members!A160),"")</f>
        <v/>
      </c>
      <c r="B163" s="16" t="str">
        <f aca="false">IFERROR(IF(Members!A160="","",Members!B160),"")</f>
        <v/>
      </c>
      <c r="C163" s="16" t="str">
        <f aca="false">IFERROR(IF(Members!A160="","",Members!C160),"")</f>
        <v/>
      </c>
      <c r="D163" s="16" t="str">
        <f aca="false">IFERROR(IF(Members!A160="","",Members!D160),"")</f>
        <v/>
      </c>
      <c r="E163" s="16" t="str">
        <f aca="false">IF(A163="","",COUNTIF(Completions!A:A,A163))</f>
        <v/>
      </c>
      <c r="F163" s="16" t="str">
        <f aca="false">IF(A163="","",SUMPRODUCT((Completions!A$2:A$5000=A163)*IFERROR(VLOOKUP(Completions!B$2:B$5000,$J$4:$K$18,2,FALSE()),0)))</f>
        <v/>
      </c>
      <c r="G163" s="16" t="str">
        <f aca="false">IF(A163="","",IF(F163&gt;=20,"Gold",IF(F163&gt;=14,"Silver",IF(F163&gt;=8,"Bronze","—"))))</f>
        <v/>
      </c>
      <c r="H163" s="16" t="str">
        <f aca="false">IF(A163="","",IFERROR(TEXT(maxifs(Completions!G:G,Completions!A:A,A163),"yyyy-mm-dd hh:mm"),"—"))</f>
        <v/>
      </c>
    </row>
    <row r="164" customFormat="false" ht="21.75" hidden="false" customHeight="true" outlineLevel="0" collapsed="false">
      <c r="A164" s="17" t="str">
        <f aca="false">IFERROR(IF(Members!A161="","",Members!A161),"")</f>
        <v/>
      </c>
      <c r="B164" s="17" t="str">
        <f aca="false">IFERROR(IF(Members!A161="","",Members!B161),"")</f>
        <v/>
      </c>
      <c r="C164" s="17" t="str">
        <f aca="false">IFERROR(IF(Members!A161="","",Members!C161),"")</f>
        <v/>
      </c>
      <c r="D164" s="17" t="str">
        <f aca="false">IFERROR(IF(Members!A161="","",Members!D161),"")</f>
        <v/>
      </c>
      <c r="E164" s="17" t="str">
        <f aca="false">IF(A164="","",COUNTIF(Completions!A:A,A164))</f>
        <v/>
      </c>
      <c r="F164" s="17" t="str">
        <f aca="false">IF(A164="","",SUMPRODUCT((Completions!A$2:A$5000=A164)*IFERROR(VLOOKUP(Completions!B$2:B$5000,$J$4:$K$18,2,FALSE()),0)))</f>
        <v/>
      </c>
      <c r="G164" s="17" t="str">
        <f aca="false">IF(A164="","",IF(F164&gt;=20,"Gold",IF(F164&gt;=14,"Silver",IF(F164&gt;=8,"Bronze","—"))))</f>
        <v/>
      </c>
      <c r="H164" s="17" t="str">
        <f aca="false">IF(A164="","",IFERROR(TEXT(maxifs(Completions!G:G,Completions!A:A,A164),"yyyy-mm-dd hh:mm"),"—"))</f>
        <v/>
      </c>
    </row>
    <row r="165" customFormat="false" ht="21.75" hidden="false" customHeight="true" outlineLevel="0" collapsed="false">
      <c r="A165" s="16" t="str">
        <f aca="false">IFERROR(IF(Members!A162="","",Members!A162),"")</f>
        <v/>
      </c>
      <c r="B165" s="16" t="str">
        <f aca="false">IFERROR(IF(Members!A162="","",Members!B162),"")</f>
        <v/>
      </c>
      <c r="C165" s="16" t="str">
        <f aca="false">IFERROR(IF(Members!A162="","",Members!C162),"")</f>
        <v/>
      </c>
      <c r="D165" s="16" t="str">
        <f aca="false">IFERROR(IF(Members!A162="","",Members!D162),"")</f>
        <v/>
      </c>
      <c r="E165" s="16" t="str">
        <f aca="false">IF(A165="","",COUNTIF(Completions!A:A,A165))</f>
        <v/>
      </c>
      <c r="F165" s="16" t="str">
        <f aca="false">IF(A165="","",SUMPRODUCT((Completions!A$2:A$5000=A165)*IFERROR(VLOOKUP(Completions!B$2:B$5000,$J$4:$K$18,2,FALSE()),0)))</f>
        <v/>
      </c>
      <c r="G165" s="16" t="str">
        <f aca="false">IF(A165="","",IF(F165&gt;=20,"Gold",IF(F165&gt;=14,"Silver",IF(F165&gt;=8,"Bronze","—"))))</f>
        <v/>
      </c>
      <c r="H165" s="16" t="str">
        <f aca="false">IF(A165="","",IFERROR(TEXT(maxifs(Completions!G:G,Completions!A:A,A165),"yyyy-mm-dd hh:mm"),"—"))</f>
        <v/>
      </c>
    </row>
    <row r="166" customFormat="false" ht="21.75" hidden="false" customHeight="true" outlineLevel="0" collapsed="false">
      <c r="A166" s="17" t="str">
        <f aca="false">IFERROR(IF(Members!A163="","",Members!A163),"")</f>
        <v/>
      </c>
      <c r="B166" s="17" t="str">
        <f aca="false">IFERROR(IF(Members!A163="","",Members!B163),"")</f>
        <v/>
      </c>
      <c r="C166" s="17" t="str">
        <f aca="false">IFERROR(IF(Members!A163="","",Members!C163),"")</f>
        <v/>
      </c>
      <c r="D166" s="17" t="str">
        <f aca="false">IFERROR(IF(Members!A163="","",Members!D163),"")</f>
        <v/>
      </c>
      <c r="E166" s="17" t="str">
        <f aca="false">IF(A166="","",COUNTIF(Completions!A:A,A166))</f>
        <v/>
      </c>
      <c r="F166" s="17" t="str">
        <f aca="false">IF(A166="","",SUMPRODUCT((Completions!A$2:A$5000=A166)*IFERROR(VLOOKUP(Completions!B$2:B$5000,$J$4:$K$18,2,FALSE()),0)))</f>
        <v/>
      </c>
      <c r="G166" s="17" t="str">
        <f aca="false">IF(A166="","",IF(F166&gt;=20,"Gold",IF(F166&gt;=14,"Silver",IF(F166&gt;=8,"Bronze","—"))))</f>
        <v/>
      </c>
      <c r="H166" s="17" t="str">
        <f aca="false">IF(A166="","",IFERROR(TEXT(maxifs(Completions!G:G,Completions!A:A,A166),"yyyy-mm-dd hh:mm"),"—"))</f>
        <v/>
      </c>
    </row>
    <row r="167" customFormat="false" ht="21.75" hidden="false" customHeight="true" outlineLevel="0" collapsed="false">
      <c r="A167" s="16" t="str">
        <f aca="false">IFERROR(IF(Members!A164="","",Members!A164),"")</f>
        <v/>
      </c>
      <c r="B167" s="16" t="str">
        <f aca="false">IFERROR(IF(Members!A164="","",Members!B164),"")</f>
        <v/>
      </c>
      <c r="C167" s="16" t="str">
        <f aca="false">IFERROR(IF(Members!A164="","",Members!C164),"")</f>
        <v/>
      </c>
      <c r="D167" s="16" t="str">
        <f aca="false">IFERROR(IF(Members!A164="","",Members!D164),"")</f>
        <v/>
      </c>
      <c r="E167" s="16" t="str">
        <f aca="false">IF(A167="","",COUNTIF(Completions!A:A,A167))</f>
        <v/>
      </c>
      <c r="F167" s="16" t="str">
        <f aca="false">IF(A167="","",SUMPRODUCT((Completions!A$2:A$5000=A167)*IFERROR(VLOOKUP(Completions!B$2:B$5000,$J$4:$K$18,2,FALSE()),0)))</f>
        <v/>
      </c>
      <c r="G167" s="16" t="str">
        <f aca="false">IF(A167="","",IF(F167&gt;=20,"Gold",IF(F167&gt;=14,"Silver",IF(F167&gt;=8,"Bronze","—"))))</f>
        <v/>
      </c>
      <c r="H167" s="16" t="str">
        <f aca="false">IF(A167="","",IFERROR(TEXT(maxifs(Completions!G:G,Completions!A:A,A167),"yyyy-mm-dd hh:mm"),"—"))</f>
        <v/>
      </c>
    </row>
    <row r="168" customFormat="false" ht="21.75" hidden="false" customHeight="true" outlineLevel="0" collapsed="false">
      <c r="A168" s="17" t="str">
        <f aca="false">IFERROR(IF(Members!A165="","",Members!A165),"")</f>
        <v/>
      </c>
      <c r="B168" s="17" t="str">
        <f aca="false">IFERROR(IF(Members!A165="","",Members!B165),"")</f>
        <v/>
      </c>
      <c r="C168" s="17" t="str">
        <f aca="false">IFERROR(IF(Members!A165="","",Members!C165),"")</f>
        <v/>
      </c>
      <c r="D168" s="17" t="str">
        <f aca="false">IFERROR(IF(Members!A165="","",Members!D165),"")</f>
        <v/>
      </c>
      <c r="E168" s="17" t="str">
        <f aca="false">IF(A168="","",COUNTIF(Completions!A:A,A168))</f>
        <v/>
      </c>
      <c r="F168" s="17" t="str">
        <f aca="false">IF(A168="","",SUMPRODUCT((Completions!A$2:A$5000=A168)*IFERROR(VLOOKUP(Completions!B$2:B$5000,$J$4:$K$18,2,FALSE()),0)))</f>
        <v/>
      </c>
      <c r="G168" s="17" t="str">
        <f aca="false">IF(A168="","",IF(F168&gt;=20,"Gold",IF(F168&gt;=14,"Silver",IF(F168&gt;=8,"Bronze","—"))))</f>
        <v/>
      </c>
      <c r="H168" s="17" t="str">
        <f aca="false">IF(A168="","",IFERROR(TEXT(maxifs(Completions!G:G,Completions!A:A,A168),"yyyy-mm-dd hh:mm"),"—"))</f>
        <v/>
      </c>
    </row>
    <row r="169" customFormat="false" ht="21.75" hidden="false" customHeight="true" outlineLevel="0" collapsed="false">
      <c r="A169" s="16" t="str">
        <f aca="false">IFERROR(IF(Members!A166="","",Members!A166),"")</f>
        <v/>
      </c>
      <c r="B169" s="16" t="str">
        <f aca="false">IFERROR(IF(Members!A166="","",Members!B166),"")</f>
        <v/>
      </c>
      <c r="C169" s="16" t="str">
        <f aca="false">IFERROR(IF(Members!A166="","",Members!C166),"")</f>
        <v/>
      </c>
      <c r="D169" s="16" t="str">
        <f aca="false">IFERROR(IF(Members!A166="","",Members!D166),"")</f>
        <v/>
      </c>
      <c r="E169" s="16" t="str">
        <f aca="false">IF(A169="","",COUNTIF(Completions!A:A,A169))</f>
        <v/>
      </c>
      <c r="F169" s="16" t="str">
        <f aca="false">IF(A169="","",SUMPRODUCT((Completions!A$2:A$5000=A169)*IFERROR(VLOOKUP(Completions!B$2:B$5000,$J$4:$K$18,2,FALSE()),0)))</f>
        <v/>
      </c>
      <c r="G169" s="16" t="str">
        <f aca="false">IF(A169="","",IF(F169&gt;=20,"Gold",IF(F169&gt;=14,"Silver",IF(F169&gt;=8,"Bronze","—"))))</f>
        <v/>
      </c>
      <c r="H169" s="16" t="str">
        <f aca="false">IF(A169="","",IFERROR(TEXT(maxifs(Completions!G:G,Completions!A:A,A169),"yyyy-mm-dd hh:mm"),"—"))</f>
        <v/>
      </c>
    </row>
    <row r="170" customFormat="false" ht="21.75" hidden="false" customHeight="true" outlineLevel="0" collapsed="false">
      <c r="A170" s="17" t="str">
        <f aca="false">IFERROR(IF(Members!A167="","",Members!A167),"")</f>
        <v/>
      </c>
      <c r="B170" s="17" t="str">
        <f aca="false">IFERROR(IF(Members!A167="","",Members!B167),"")</f>
        <v/>
      </c>
      <c r="C170" s="17" t="str">
        <f aca="false">IFERROR(IF(Members!A167="","",Members!C167),"")</f>
        <v/>
      </c>
      <c r="D170" s="17" t="str">
        <f aca="false">IFERROR(IF(Members!A167="","",Members!D167),"")</f>
        <v/>
      </c>
      <c r="E170" s="17" t="str">
        <f aca="false">IF(A170="","",COUNTIF(Completions!A:A,A170))</f>
        <v/>
      </c>
      <c r="F170" s="17" t="str">
        <f aca="false">IF(A170="","",SUMPRODUCT((Completions!A$2:A$5000=A170)*IFERROR(VLOOKUP(Completions!B$2:B$5000,$J$4:$K$18,2,FALSE()),0)))</f>
        <v/>
      </c>
      <c r="G170" s="17" t="str">
        <f aca="false">IF(A170="","",IF(F170&gt;=20,"Gold",IF(F170&gt;=14,"Silver",IF(F170&gt;=8,"Bronze","—"))))</f>
        <v/>
      </c>
      <c r="H170" s="17" t="str">
        <f aca="false">IF(A170="","",IFERROR(TEXT(maxifs(Completions!G:G,Completions!A:A,A170),"yyyy-mm-dd hh:mm"),"—"))</f>
        <v/>
      </c>
    </row>
    <row r="171" customFormat="false" ht="21.75" hidden="false" customHeight="true" outlineLevel="0" collapsed="false">
      <c r="A171" s="16" t="str">
        <f aca="false">IFERROR(IF(Members!A168="","",Members!A168),"")</f>
        <v/>
      </c>
      <c r="B171" s="16" t="str">
        <f aca="false">IFERROR(IF(Members!A168="","",Members!B168),"")</f>
        <v/>
      </c>
      <c r="C171" s="16" t="str">
        <f aca="false">IFERROR(IF(Members!A168="","",Members!C168),"")</f>
        <v/>
      </c>
      <c r="D171" s="16" t="str">
        <f aca="false">IFERROR(IF(Members!A168="","",Members!D168),"")</f>
        <v/>
      </c>
      <c r="E171" s="16" t="str">
        <f aca="false">IF(A171="","",COUNTIF(Completions!A:A,A171))</f>
        <v/>
      </c>
      <c r="F171" s="16" t="str">
        <f aca="false">IF(A171="","",SUMPRODUCT((Completions!A$2:A$5000=A171)*IFERROR(VLOOKUP(Completions!B$2:B$5000,$J$4:$K$18,2,FALSE()),0)))</f>
        <v/>
      </c>
      <c r="G171" s="16" t="str">
        <f aca="false">IF(A171="","",IF(F171&gt;=20,"Gold",IF(F171&gt;=14,"Silver",IF(F171&gt;=8,"Bronze","—"))))</f>
        <v/>
      </c>
      <c r="H171" s="16" t="str">
        <f aca="false">IF(A171="","",IFERROR(TEXT(maxifs(Completions!G:G,Completions!A:A,A171),"yyyy-mm-dd hh:mm"),"—"))</f>
        <v/>
      </c>
    </row>
    <row r="172" customFormat="false" ht="21.75" hidden="false" customHeight="true" outlineLevel="0" collapsed="false">
      <c r="A172" s="17" t="str">
        <f aca="false">IFERROR(IF(Members!A169="","",Members!A169),"")</f>
        <v/>
      </c>
      <c r="B172" s="17" t="str">
        <f aca="false">IFERROR(IF(Members!A169="","",Members!B169),"")</f>
        <v/>
      </c>
      <c r="C172" s="17" t="str">
        <f aca="false">IFERROR(IF(Members!A169="","",Members!C169),"")</f>
        <v/>
      </c>
      <c r="D172" s="17" t="str">
        <f aca="false">IFERROR(IF(Members!A169="","",Members!D169),"")</f>
        <v/>
      </c>
      <c r="E172" s="17" t="str">
        <f aca="false">IF(A172="","",COUNTIF(Completions!A:A,A172))</f>
        <v/>
      </c>
      <c r="F172" s="17" t="str">
        <f aca="false">IF(A172="","",SUMPRODUCT((Completions!A$2:A$5000=A172)*IFERROR(VLOOKUP(Completions!B$2:B$5000,$J$4:$K$18,2,FALSE()),0)))</f>
        <v/>
      </c>
      <c r="G172" s="17" t="str">
        <f aca="false">IF(A172="","",IF(F172&gt;=20,"Gold",IF(F172&gt;=14,"Silver",IF(F172&gt;=8,"Bronze","—"))))</f>
        <v/>
      </c>
      <c r="H172" s="17" t="str">
        <f aca="false">IF(A172="","",IFERROR(TEXT(maxifs(Completions!G:G,Completions!A:A,A172),"yyyy-mm-dd hh:mm"),"—"))</f>
        <v/>
      </c>
    </row>
    <row r="173" customFormat="false" ht="21.75" hidden="false" customHeight="true" outlineLevel="0" collapsed="false">
      <c r="A173" s="16" t="str">
        <f aca="false">IFERROR(IF(Members!A170="","",Members!A170),"")</f>
        <v/>
      </c>
      <c r="B173" s="16" t="str">
        <f aca="false">IFERROR(IF(Members!A170="","",Members!B170),"")</f>
        <v/>
      </c>
      <c r="C173" s="16" t="str">
        <f aca="false">IFERROR(IF(Members!A170="","",Members!C170),"")</f>
        <v/>
      </c>
      <c r="D173" s="16" t="str">
        <f aca="false">IFERROR(IF(Members!A170="","",Members!D170),"")</f>
        <v/>
      </c>
      <c r="E173" s="16" t="str">
        <f aca="false">IF(A173="","",COUNTIF(Completions!A:A,A173))</f>
        <v/>
      </c>
      <c r="F173" s="16" t="str">
        <f aca="false">IF(A173="","",SUMPRODUCT((Completions!A$2:A$5000=A173)*IFERROR(VLOOKUP(Completions!B$2:B$5000,$J$4:$K$18,2,FALSE()),0)))</f>
        <v/>
      </c>
      <c r="G173" s="16" t="str">
        <f aca="false">IF(A173="","",IF(F173&gt;=20,"Gold",IF(F173&gt;=14,"Silver",IF(F173&gt;=8,"Bronze","—"))))</f>
        <v/>
      </c>
      <c r="H173" s="16" t="str">
        <f aca="false">IF(A173="","",IFERROR(TEXT(maxifs(Completions!G:G,Completions!A:A,A173),"yyyy-mm-dd hh:mm"),"—"))</f>
        <v/>
      </c>
    </row>
    <row r="174" customFormat="false" ht="21.75" hidden="false" customHeight="true" outlineLevel="0" collapsed="false">
      <c r="A174" s="17" t="str">
        <f aca="false">IFERROR(IF(Members!A171="","",Members!A171),"")</f>
        <v/>
      </c>
      <c r="B174" s="17" t="str">
        <f aca="false">IFERROR(IF(Members!A171="","",Members!B171),"")</f>
        <v/>
      </c>
      <c r="C174" s="17" t="str">
        <f aca="false">IFERROR(IF(Members!A171="","",Members!C171),"")</f>
        <v/>
      </c>
      <c r="D174" s="17" t="str">
        <f aca="false">IFERROR(IF(Members!A171="","",Members!D171),"")</f>
        <v/>
      </c>
      <c r="E174" s="17" t="str">
        <f aca="false">IF(A174="","",COUNTIF(Completions!A:A,A174))</f>
        <v/>
      </c>
      <c r="F174" s="17" t="str">
        <f aca="false">IF(A174="","",SUMPRODUCT((Completions!A$2:A$5000=A174)*IFERROR(VLOOKUP(Completions!B$2:B$5000,$J$4:$K$18,2,FALSE()),0)))</f>
        <v/>
      </c>
      <c r="G174" s="17" t="str">
        <f aca="false">IF(A174="","",IF(F174&gt;=20,"Gold",IF(F174&gt;=14,"Silver",IF(F174&gt;=8,"Bronze","—"))))</f>
        <v/>
      </c>
      <c r="H174" s="17" t="str">
        <f aca="false">IF(A174="","",IFERROR(TEXT(maxifs(Completions!G:G,Completions!A:A,A174),"yyyy-mm-dd hh:mm"),"—"))</f>
        <v/>
      </c>
    </row>
    <row r="175" customFormat="false" ht="21.75" hidden="false" customHeight="true" outlineLevel="0" collapsed="false">
      <c r="A175" s="16" t="str">
        <f aca="false">IFERROR(IF(Members!A172="","",Members!A172),"")</f>
        <v/>
      </c>
      <c r="B175" s="16" t="str">
        <f aca="false">IFERROR(IF(Members!A172="","",Members!B172),"")</f>
        <v/>
      </c>
      <c r="C175" s="16" t="str">
        <f aca="false">IFERROR(IF(Members!A172="","",Members!C172),"")</f>
        <v/>
      </c>
      <c r="D175" s="16" t="str">
        <f aca="false">IFERROR(IF(Members!A172="","",Members!D172),"")</f>
        <v/>
      </c>
      <c r="E175" s="16" t="str">
        <f aca="false">IF(A175="","",COUNTIF(Completions!A:A,A175))</f>
        <v/>
      </c>
      <c r="F175" s="16" t="str">
        <f aca="false">IF(A175="","",SUMPRODUCT((Completions!A$2:A$5000=A175)*IFERROR(VLOOKUP(Completions!B$2:B$5000,$J$4:$K$18,2,FALSE()),0)))</f>
        <v/>
      </c>
      <c r="G175" s="16" t="str">
        <f aca="false">IF(A175="","",IF(F175&gt;=20,"Gold",IF(F175&gt;=14,"Silver",IF(F175&gt;=8,"Bronze","—"))))</f>
        <v/>
      </c>
      <c r="H175" s="16" t="str">
        <f aca="false">IF(A175="","",IFERROR(TEXT(maxifs(Completions!G:G,Completions!A:A,A175),"yyyy-mm-dd hh:mm"),"—"))</f>
        <v/>
      </c>
    </row>
    <row r="176" customFormat="false" ht="21.75" hidden="false" customHeight="true" outlineLevel="0" collapsed="false">
      <c r="A176" s="17" t="str">
        <f aca="false">IFERROR(IF(Members!A173="","",Members!A173),"")</f>
        <v/>
      </c>
      <c r="B176" s="17" t="str">
        <f aca="false">IFERROR(IF(Members!A173="","",Members!B173),"")</f>
        <v/>
      </c>
      <c r="C176" s="17" t="str">
        <f aca="false">IFERROR(IF(Members!A173="","",Members!C173),"")</f>
        <v/>
      </c>
      <c r="D176" s="17" t="str">
        <f aca="false">IFERROR(IF(Members!A173="","",Members!D173),"")</f>
        <v/>
      </c>
      <c r="E176" s="17" t="str">
        <f aca="false">IF(A176="","",COUNTIF(Completions!A:A,A176))</f>
        <v/>
      </c>
      <c r="F176" s="17" t="str">
        <f aca="false">IF(A176="","",SUMPRODUCT((Completions!A$2:A$5000=A176)*IFERROR(VLOOKUP(Completions!B$2:B$5000,$J$4:$K$18,2,FALSE()),0)))</f>
        <v/>
      </c>
      <c r="G176" s="17" t="str">
        <f aca="false">IF(A176="","",IF(F176&gt;=20,"Gold",IF(F176&gt;=14,"Silver",IF(F176&gt;=8,"Bronze","—"))))</f>
        <v/>
      </c>
      <c r="H176" s="17" t="str">
        <f aca="false">IF(A176="","",IFERROR(TEXT(maxifs(Completions!G:G,Completions!A:A,A176),"yyyy-mm-dd hh:mm"),"—"))</f>
        <v/>
      </c>
    </row>
    <row r="177" customFormat="false" ht="21.75" hidden="false" customHeight="true" outlineLevel="0" collapsed="false">
      <c r="A177" s="16" t="str">
        <f aca="false">IFERROR(IF(Members!A174="","",Members!A174),"")</f>
        <v/>
      </c>
      <c r="B177" s="16" t="str">
        <f aca="false">IFERROR(IF(Members!A174="","",Members!B174),"")</f>
        <v/>
      </c>
      <c r="C177" s="16" t="str">
        <f aca="false">IFERROR(IF(Members!A174="","",Members!C174),"")</f>
        <v/>
      </c>
      <c r="D177" s="16" t="str">
        <f aca="false">IFERROR(IF(Members!A174="","",Members!D174),"")</f>
        <v/>
      </c>
      <c r="E177" s="16" t="str">
        <f aca="false">IF(A177="","",COUNTIF(Completions!A:A,A177))</f>
        <v/>
      </c>
      <c r="F177" s="16" t="str">
        <f aca="false">IF(A177="","",SUMPRODUCT((Completions!A$2:A$5000=A177)*IFERROR(VLOOKUP(Completions!B$2:B$5000,$J$4:$K$18,2,FALSE()),0)))</f>
        <v/>
      </c>
      <c r="G177" s="16" t="str">
        <f aca="false">IF(A177="","",IF(F177&gt;=20,"Gold",IF(F177&gt;=14,"Silver",IF(F177&gt;=8,"Bronze","—"))))</f>
        <v/>
      </c>
      <c r="H177" s="16" t="str">
        <f aca="false">IF(A177="","",IFERROR(TEXT(maxifs(Completions!G:G,Completions!A:A,A177),"yyyy-mm-dd hh:mm"),"—"))</f>
        <v/>
      </c>
    </row>
    <row r="178" customFormat="false" ht="21.75" hidden="false" customHeight="true" outlineLevel="0" collapsed="false">
      <c r="A178" s="17" t="str">
        <f aca="false">IFERROR(IF(Members!A175="","",Members!A175),"")</f>
        <v/>
      </c>
      <c r="B178" s="17" t="str">
        <f aca="false">IFERROR(IF(Members!A175="","",Members!B175),"")</f>
        <v/>
      </c>
      <c r="C178" s="17" t="str">
        <f aca="false">IFERROR(IF(Members!A175="","",Members!C175),"")</f>
        <v/>
      </c>
      <c r="D178" s="17" t="str">
        <f aca="false">IFERROR(IF(Members!A175="","",Members!D175),"")</f>
        <v/>
      </c>
      <c r="E178" s="17" t="str">
        <f aca="false">IF(A178="","",COUNTIF(Completions!A:A,A178))</f>
        <v/>
      </c>
      <c r="F178" s="17" t="str">
        <f aca="false">IF(A178="","",SUMPRODUCT((Completions!A$2:A$5000=A178)*IFERROR(VLOOKUP(Completions!B$2:B$5000,$J$4:$K$18,2,FALSE()),0)))</f>
        <v/>
      </c>
      <c r="G178" s="17" t="str">
        <f aca="false">IF(A178="","",IF(F178&gt;=20,"Gold",IF(F178&gt;=14,"Silver",IF(F178&gt;=8,"Bronze","—"))))</f>
        <v/>
      </c>
      <c r="H178" s="17" t="str">
        <f aca="false">IF(A178="","",IFERROR(TEXT(maxifs(Completions!G:G,Completions!A:A,A178),"yyyy-mm-dd hh:mm"),"—"))</f>
        <v/>
      </c>
    </row>
    <row r="179" customFormat="false" ht="21.75" hidden="false" customHeight="true" outlineLevel="0" collapsed="false">
      <c r="A179" s="16" t="str">
        <f aca="false">IFERROR(IF(Members!A176="","",Members!A176),"")</f>
        <v/>
      </c>
      <c r="B179" s="16" t="str">
        <f aca="false">IFERROR(IF(Members!A176="","",Members!B176),"")</f>
        <v/>
      </c>
      <c r="C179" s="16" t="str">
        <f aca="false">IFERROR(IF(Members!A176="","",Members!C176),"")</f>
        <v/>
      </c>
      <c r="D179" s="16" t="str">
        <f aca="false">IFERROR(IF(Members!A176="","",Members!D176),"")</f>
        <v/>
      </c>
      <c r="E179" s="16" t="str">
        <f aca="false">IF(A179="","",COUNTIF(Completions!A:A,A179))</f>
        <v/>
      </c>
      <c r="F179" s="16" t="str">
        <f aca="false">IF(A179="","",SUMPRODUCT((Completions!A$2:A$5000=A179)*IFERROR(VLOOKUP(Completions!B$2:B$5000,$J$4:$K$18,2,FALSE()),0)))</f>
        <v/>
      </c>
      <c r="G179" s="16" t="str">
        <f aca="false">IF(A179="","",IF(F179&gt;=20,"Gold",IF(F179&gt;=14,"Silver",IF(F179&gt;=8,"Bronze","—"))))</f>
        <v/>
      </c>
      <c r="H179" s="16" t="str">
        <f aca="false">IF(A179="","",IFERROR(TEXT(maxifs(Completions!G:G,Completions!A:A,A179),"yyyy-mm-dd hh:mm"),"—"))</f>
        <v/>
      </c>
    </row>
    <row r="180" customFormat="false" ht="21.75" hidden="false" customHeight="true" outlineLevel="0" collapsed="false">
      <c r="A180" s="17" t="str">
        <f aca="false">IFERROR(IF(Members!A177="","",Members!A177),"")</f>
        <v/>
      </c>
      <c r="B180" s="17" t="str">
        <f aca="false">IFERROR(IF(Members!A177="","",Members!B177),"")</f>
        <v/>
      </c>
      <c r="C180" s="17" t="str">
        <f aca="false">IFERROR(IF(Members!A177="","",Members!C177),"")</f>
        <v/>
      </c>
      <c r="D180" s="17" t="str">
        <f aca="false">IFERROR(IF(Members!A177="","",Members!D177),"")</f>
        <v/>
      </c>
      <c r="E180" s="17" t="str">
        <f aca="false">IF(A180="","",COUNTIF(Completions!A:A,A180))</f>
        <v/>
      </c>
      <c r="F180" s="17" t="str">
        <f aca="false">IF(A180="","",SUMPRODUCT((Completions!A$2:A$5000=A180)*IFERROR(VLOOKUP(Completions!B$2:B$5000,$J$4:$K$18,2,FALSE()),0)))</f>
        <v/>
      </c>
      <c r="G180" s="17" t="str">
        <f aca="false">IF(A180="","",IF(F180&gt;=20,"Gold",IF(F180&gt;=14,"Silver",IF(F180&gt;=8,"Bronze","—"))))</f>
        <v/>
      </c>
      <c r="H180" s="17" t="str">
        <f aca="false">IF(A180="","",IFERROR(TEXT(maxifs(Completions!G:G,Completions!A:A,A180),"yyyy-mm-dd hh:mm"),"—"))</f>
        <v/>
      </c>
    </row>
    <row r="181" customFormat="false" ht="21.75" hidden="false" customHeight="true" outlineLevel="0" collapsed="false">
      <c r="A181" s="16" t="str">
        <f aca="false">IFERROR(IF(Members!A178="","",Members!A178),"")</f>
        <v/>
      </c>
      <c r="B181" s="16" t="str">
        <f aca="false">IFERROR(IF(Members!A178="","",Members!B178),"")</f>
        <v/>
      </c>
      <c r="C181" s="16" t="str">
        <f aca="false">IFERROR(IF(Members!A178="","",Members!C178),"")</f>
        <v/>
      </c>
      <c r="D181" s="16" t="str">
        <f aca="false">IFERROR(IF(Members!A178="","",Members!D178),"")</f>
        <v/>
      </c>
      <c r="E181" s="16" t="str">
        <f aca="false">IF(A181="","",COUNTIF(Completions!A:A,A181))</f>
        <v/>
      </c>
      <c r="F181" s="16" t="str">
        <f aca="false">IF(A181="","",SUMPRODUCT((Completions!A$2:A$5000=A181)*IFERROR(VLOOKUP(Completions!B$2:B$5000,$J$4:$K$18,2,FALSE()),0)))</f>
        <v/>
      </c>
      <c r="G181" s="16" t="str">
        <f aca="false">IF(A181="","",IF(F181&gt;=20,"Gold",IF(F181&gt;=14,"Silver",IF(F181&gt;=8,"Bronze","—"))))</f>
        <v/>
      </c>
      <c r="H181" s="16" t="str">
        <f aca="false">IF(A181="","",IFERROR(TEXT(maxifs(Completions!G:G,Completions!A:A,A181),"yyyy-mm-dd hh:mm"),"—"))</f>
        <v/>
      </c>
    </row>
    <row r="182" customFormat="false" ht="21.75" hidden="false" customHeight="true" outlineLevel="0" collapsed="false">
      <c r="A182" s="17" t="str">
        <f aca="false">IFERROR(IF(Members!A179="","",Members!A179),"")</f>
        <v/>
      </c>
      <c r="B182" s="17" t="str">
        <f aca="false">IFERROR(IF(Members!A179="","",Members!B179),"")</f>
        <v/>
      </c>
      <c r="C182" s="17" t="str">
        <f aca="false">IFERROR(IF(Members!A179="","",Members!C179),"")</f>
        <v/>
      </c>
      <c r="D182" s="17" t="str">
        <f aca="false">IFERROR(IF(Members!A179="","",Members!D179),"")</f>
        <v/>
      </c>
      <c r="E182" s="17" t="str">
        <f aca="false">IF(A182="","",COUNTIF(Completions!A:A,A182))</f>
        <v/>
      </c>
      <c r="F182" s="17" t="str">
        <f aca="false">IF(A182="","",SUMPRODUCT((Completions!A$2:A$5000=A182)*IFERROR(VLOOKUP(Completions!B$2:B$5000,$J$4:$K$18,2,FALSE()),0)))</f>
        <v/>
      </c>
      <c r="G182" s="17" t="str">
        <f aca="false">IF(A182="","",IF(F182&gt;=20,"Gold",IF(F182&gt;=14,"Silver",IF(F182&gt;=8,"Bronze","—"))))</f>
        <v/>
      </c>
      <c r="H182" s="17" t="str">
        <f aca="false">IF(A182="","",IFERROR(TEXT(maxifs(Completions!G:G,Completions!A:A,A182),"yyyy-mm-dd hh:mm"),"—"))</f>
        <v/>
      </c>
    </row>
    <row r="183" customFormat="false" ht="21.75" hidden="false" customHeight="true" outlineLevel="0" collapsed="false">
      <c r="A183" s="16" t="str">
        <f aca="false">IFERROR(IF(Members!A180="","",Members!A180),"")</f>
        <v/>
      </c>
      <c r="B183" s="16" t="str">
        <f aca="false">IFERROR(IF(Members!A180="","",Members!B180),"")</f>
        <v/>
      </c>
      <c r="C183" s="16" t="str">
        <f aca="false">IFERROR(IF(Members!A180="","",Members!C180),"")</f>
        <v/>
      </c>
      <c r="D183" s="16" t="str">
        <f aca="false">IFERROR(IF(Members!A180="","",Members!D180),"")</f>
        <v/>
      </c>
      <c r="E183" s="16" t="str">
        <f aca="false">IF(A183="","",COUNTIF(Completions!A:A,A183))</f>
        <v/>
      </c>
      <c r="F183" s="16" t="str">
        <f aca="false">IF(A183="","",SUMPRODUCT((Completions!A$2:A$5000=A183)*IFERROR(VLOOKUP(Completions!B$2:B$5000,$J$4:$K$18,2,FALSE()),0)))</f>
        <v/>
      </c>
      <c r="G183" s="16" t="str">
        <f aca="false">IF(A183="","",IF(F183&gt;=20,"Gold",IF(F183&gt;=14,"Silver",IF(F183&gt;=8,"Bronze","—"))))</f>
        <v/>
      </c>
      <c r="H183" s="16" t="str">
        <f aca="false">IF(A183="","",IFERROR(TEXT(maxifs(Completions!G:G,Completions!A:A,A183),"yyyy-mm-dd hh:mm"),"—"))</f>
        <v/>
      </c>
    </row>
    <row r="184" customFormat="false" ht="21.75" hidden="false" customHeight="true" outlineLevel="0" collapsed="false">
      <c r="A184" s="17" t="str">
        <f aca="false">IFERROR(IF(Members!A181="","",Members!A181),"")</f>
        <v/>
      </c>
      <c r="B184" s="17" t="str">
        <f aca="false">IFERROR(IF(Members!A181="","",Members!B181),"")</f>
        <v/>
      </c>
      <c r="C184" s="17" t="str">
        <f aca="false">IFERROR(IF(Members!A181="","",Members!C181),"")</f>
        <v/>
      </c>
      <c r="D184" s="17" t="str">
        <f aca="false">IFERROR(IF(Members!A181="","",Members!D181),"")</f>
        <v/>
      </c>
      <c r="E184" s="17" t="str">
        <f aca="false">IF(A184="","",COUNTIF(Completions!A:A,A184))</f>
        <v/>
      </c>
      <c r="F184" s="17" t="str">
        <f aca="false">IF(A184="","",SUMPRODUCT((Completions!A$2:A$5000=A184)*IFERROR(VLOOKUP(Completions!B$2:B$5000,$J$4:$K$18,2,FALSE()),0)))</f>
        <v/>
      </c>
      <c r="G184" s="17" t="str">
        <f aca="false">IF(A184="","",IF(F184&gt;=20,"Gold",IF(F184&gt;=14,"Silver",IF(F184&gt;=8,"Bronze","—"))))</f>
        <v/>
      </c>
      <c r="H184" s="17" t="str">
        <f aca="false">IF(A184="","",IFERROR(TEXT(maxifs(Completions!G:G,Completions!A:A,A184),"yyyy-mm-dd hh:mm"),"—"))</f>
        <v/>
      </c>
    </row>
    <row r="185" customFormat="false" ht="21.75" hidden="false" customHeight="true" outlineLevel="0" collapsed="false">
      <c r="A185" s="16" t="str">
        <f aca="false">IFERROR(IF(Members!A182="","",Members!A182),"")</f>
        <v/>
      </c>
      <c r="B185" s="16" t="str">
        <f aca="false">IFERROR(IF(Members!A182="","",Members!B182),"")</f>
        <v/>
      </c>
      <c r="C185" s="16" t="str">
        <f aca="false">IFERROR(IF(Members!A182="","",Members!C182),"")</f>
        <v/>
      </c>
      <c r="D185" s="16" t="str">
        <f aca="false">IFERROR(IF(Members!A182="","",Members!D182),"")</f>
        <v/>
      </c>
      <c r="E185" s="16" t="str">
        <f aca="false">IF(A185="","",COUNTIF(Completions!A:A,A185))</f>
        <v/>
      </c>
      <c r="F185" s="16" t="str">
        <f aca="false">IF(A185="","",SUMPRODUCT((Completions!A$2:A$5000=A185)*IFERROR(VLOOKUP(Completions!B$2:B$5000,$J$4:$K$18,2,FALSE()),0)))</f>
        <v/>
      </c>
      <c r="G185" s="16" t="str">
        <f aca="false">IF(A185="","",IF(F185&gt;=20,"Gold",IF(F185&gt;=14,"Silver",IF(F185&gt;=8,"Bronze","—"))))</f>
        <v/>
      </c>
      <c r="H185" s="16" t="str">
        <f aca="false">IF(A185="","",IFERROR(TEXT(maxifs(Completions!G:G,Completions!A:A,A185),"yyyy-mm-dd hh:mm"),"—"))</f>
        <v/>
      </c>
    </row>
    <row r="186" customFormat="false" ht="21.75" hidden="false" customHeight="true" outlineLevel="0" collapsed="false">
      <c r="A186" s="17" t="str">
        <f aca="false">IFERROR(IF(Members!A183="","",Members!A183),"")</f>
        <v/>
      </c>
      <c r="B186" s="17" t="str">
        <f aca="false">IFERROR(IF(Members!A183="","",Members!B183),"")</f>
        <v/>
      </c>
      <c r="C186" s="17" t="str">
        <f aca="false">IFERROR(IF(Members!A183="","",Members!C183),"")</f>
        <v/>
      </c>
      <c r="D186" s="17" t="str">
        <f aca="false">IFERROR(IF(Members!A183="","",Members!D183),"")</f>
        <v/>
      </c>
      <c r="E186" s="17" t="str">
        <f aca="false">IF(A186="","",COUNTIF(Completions!A:A,A186))</f>
        <v/>
      </c>
      <c r="F186" s="17" t="str">
        <f aca="false">IF(A186="","",SUMPRODUCT((Completions!A$2:A$5000=A186)*IFERROR(VLOOKUP(Completions!B$2:B$5000,$J$4:$K$18,2,FALSE()),0)))</f>
        <v/>
      </c>
      <c r="G186" s="17" t="str">
        <f aca="false">IF(A186="","",IF(F186&gt;=20,"Gold",IF(F186&gt;=14,"Silver",IF(F186&gt;=8,"Bronze","—"))))</f>
        <v/>
      </c>
      <c r="H186" s="17" t="str">
        <f aca="false">IF(A186="","",IFERROR(TEXT(maxifs(Completions!G:G,Completions!A:A,A186),"yyyy-mm-dd hh:mm"),"—"))</f>
        <v/>
      </c>
    </row>
    <row r="187" customFormat="false" ht="21.75" hidden="false" customHeight="true" outlineLevel="0" collapsed="false">
      <c r="A187" s="16" t="str">
        <f aca="false">IFERROR(IF(Members!A184="","",Members!A184),"")</f>
        <v/>
      </c>
      <c r="B187" s="16" t="str">
        <f aca="false">IFERROR(IF(Members!A184="","",Members!B184),"")</f>
        <v/>
      </c>
      <c r="C187" s="16" t="str">
        <f aca="false">IFERROR(IF(Members!A184="","",Members!C184),"")</f>
        <v/>
      </c>
      <c r="D187" s="16" t="str">
        <f aca="false">IFERROR(IF(Members!A184="","",Members!D184),"")</f>
        <v/>
      </c>
      <c r="E187" s="16" t="str">
        <f aca="false">IF(A187="","",COUNTIF(Completions!A:A,A187))</f>
        <v/>
      </c>
      <c r="F187" s="16" t="str">
        <f aca="false">IF(A187="","",SUMPRODUCT((Completions!A$2:A$5000=A187)*IFERROR(VLOOKUP(Completions!B$2:B$5000,$J$4:$K$18,2,FALSE()),0)))</f>
        <v/>
      </c>
      <c r="G187" s="16" t="str">
        <f aca="false">IF(A187="","",IF(F187&gt;=20,"Gold",IF(F187&gt;=14,"Silver",IF(F187&gt;=8,"Bronze","—"))))</f>
        <v/>
      </c>
      <c r="H187" s="16" t="str">
        <f aca="false">IF(A187="","",IFERROR(TEXT(maxifs(Completions!G:G,Completions!A:A,A187),"yyyy-mm-dd hh:mm"),"—"))</f>
        <v/>
      </c>
    </row>
    <row r="188" customFormat="false" ht="21.75" hidden="false" customHeight="true" outlineLevel="0" collapsed="false">
      <c r="A188" s="17" t="str">
        <f aca="false">IFERROR(IF(Members!A185="","",Members!A185),"")</f>
        <v/>
      </c>
      <c r="B188" s="17" t="str">
        <f aca="false">IFERROR(IF(Members!A185="","",Members!B185),"")</f>
        <v/>
      </c>
      <c r="C188" s="17" t="str">
        <f aca="false">IFERROR(IF(Members!A185="","",Members!C185),"")</f>
        <v/>
      </c>
      <c r="D188" s="17" t="str">
        <f aca="false">IFERROR(IF(Members!A185="","",Members!D185),"")</f>
        <v/>
      </c>
      <c r="E188" s="17" t="str">
        <f aca="false">IF(A188="","",COUNTIF(Completions!A:A,A188))</f>
        <v/>
      </c>
      <c r="F188" s="17" t="str">
        <f aca="false">IF(A188="","",SUMPRODUCT((Completions!A$2:A$5000=A188)*IFERROR(VLOOKUP(Completions!B$2:B$5000,$J$4:$K$18,2,FALSE()),0)))</f>
        <v/>
      </c>
      <c r="G188" s="17" t="str">
        <f aca="false">IF(A188="","",IF(F188&gt;=20,"Gold",IF(F188&gt;=14,"Silver",IF(F188&gt;=8,"Bronze","—"))))</f>
        <v/>
      </c>
      <c r="H188" s="17" t="str">
        <f aca="false">IF(A188="","",IFERROR(TEXT(maxifs(Completions!G:G,Completions!A:A,A188),"yyyy-mm-dd hh:mm"),"—"))</f>
        <v/>
      </c>
    </row>
    <row r="189" customFormat="false" ht="21.75" hidden="false" customHeight="true" outlineLevel="0" collapsed="false">
      <c r="A189" s="16" t="str">
        <f aca="false">IFERROR(IF(Members!A186="","",Members!A186),"")</f>
        <v/>
      </c>
      <c r="B189" s="16" t="str">
        <f aca="false">IFERROR(IF(Members!A186="","",Members!B186),"")</f>
        <v/>
      </c>
      <c r="C189" s="16" t="str">
        <f aca="false">IFERROR(IF(Members!A186="","",Members!C186),"")</f>
        <v/>
      </c>
      <c r="D189" s="16" t="str">
        <f aca="false">IFERROR(IF(Members!A186="","",Members!D186),"")</f>
        <v/>
      </c>
      <c r="E189" s="16" t="str">
        <f aca="false">IF(A189="","",COUNTIF(Completions!A:A,A189))</f>
        <v/>
      </c>
      <c r="F189" s="16" t="str">
        <f aca="false">IF(A189="","",SUMPRODUCT((Completions!A$2:A$5000=A189)*IFERROR(VLOOKUP(Completions!B$2:B$5000,$J$4:$K$18,2,FALSE()),0)))</f>
        <v/>
      </c>
      <c r="G189" s="16" t="str">
        <f aca="false">IF(A189="","",IF(F189&gt;=20,"Gold",IF(F189&gt;=14,"Silver",IF(F189&gt;=8,"Bronze","—"))))</f>
        <v/>
      </c>
      <c r="H189" s="16" t="str">
        <f aca="false">IF(A189="","",IFERROR(TEXT(maxifs(Completions!G:G,Completions!A:A,A189),"yyyy-mm-dd hh:mm"),"—"))</f>
        <v/>
      </c>
    </row>
    <row r="190" customFormat="false" ht="21.75" hidden="false" customHeight="true" outlineLevel="0" collapsed="false">
      <c r="A190" s="17" t="str">
        <f aca="false">IFERROR(IF(Members!A187="","",Members!A187),"")</f>
        <v/>
      </c>
      <c r="B190" s="17" t="str">
        <f aca="false">IFERROR(IF(Members!A187="","",Members!B187),"")</f>
        <v/>
      </c>
      <c r="C190" s="17" t="str">
        <f aca="false">IFERROR(IF(Members!A187="","",Members!C187),"")</f>
        <v/>
      </c>
      <c r="D190" s="17" t="str">
        <f aca="false">IFERROR(IF(Members!A187="","",Members!D187),"")</f>
        <v/>
      </c>
      <c r="E190" s="17" t="str">
        <f aca="false">IF(A190="","",COUNTIF(Completions!A:A,A190))</f>
        <v/>
      </c>
      <c r="F190" s="17" t="str">
        <f aca="false">IF(A190="","",SUMPRODUCT((Completions!A$2:A$5000=A190)*IFERROR(VLOOKUP(Completions!B$2:B$5000,$J$4:$K$18,2,FALSE()),0)))</f>
        <v/>
      </c>
      <c r="G190" s="17" t="str">
        <f aca="false">IF(A190="","",IF(F190&gt;=20,"Gold",IF(F190&gt;=14,"Silver",IF(F190&gt;=8,"Bronze","—"))))</f>
        <v/>
      </c>
      <c r="H190" s="17" t="str">
        <f aca="false">IF(A190="","",IFERROR(TEXT(maxifs(Completions!G:G,Completions!A:A,A190),"yyyy-mm-dd hh:mm"),"—"))</f>
        <v/>
      </c>
    </row>
    <row r="191" customFormat="false" ht="21.75" hidden="false" customHeight="true" outlineLevel="0" collapsed="false">
      <c r="A191" s="16" t="str">
        <f aca="false">IFERROR(IF(Members!A188="","",Members!A188),"")</f>
        <v/>
      </c>
      <c r="B191" s="16" t="str">
        <f aca="false">IFERROR(IF(Members!A188="","",Members!B188),"")</f>
        <v/>
      </c>
      <c r="C191" s="16" t="str">
        <f aca="false">IFERROR(IF(Members!A188="","",Members!C188),"")</f>
        <v/>
      </c>
      <c r="D191" s="16" t="str">
        <f aca="false">IFERROR(IF(Members!A188="","",Members!D188),"")</f>
        <v/>
      </c>
      <c r="E191" s="16" t="str">
        <f aca="false">IF(A191="","",COUNTIF(Completions!A:A,A191))</f>
        <v/>
      </c>
      <c r="F191" s="16" t="str">
        <f aca="false">IF(A191="","",SUMPRODUCT((Completions!A$2:A$5000=A191)*IFERROR(VLOOKUP(Completions!B$2:B$5000,$J$4:$K$18,2,FALSE()),0)))</f>
        <v/>
      </c>
      <c r="G191" s="16" t="str">
        <f aca="false">IF(A191="","",IF(F191&gt;=20,"Gold",IF(F191&gt;=14,"Silver",IF(F191&gt;=8,"Bronze","—"))))</f>
        <v/>
      </c>
      <c r="H191" s="16" t="str">
        <f aca="false">IF(A191="","",IFERROR(TEXT(maxifs(Completions!G:G,Completions!A:A,A191),"yyyy-mm-dd hh:mm"),"—"))</f>
        <v/>
      </c>
    </row>
    <row r="192" customFormat="false" ht="21.75" hidden="false" customHeight="true" outlineLevel="0" collapsed="false">
      <c r="A192" s="17" t="str">
        <f aca="false">IFERROR(IF(Members!A189="","",Members!A189),"")</f>
        <v/>
      </c>
      <c r="B192" s="17" t="str">
        <f aca="false">IFERROR(IF(Members!A189="","",Members!B189),"")</f>
        <v/>
      </c>
      <c r="C192" s="17" t="str">
        <f aca="false">IFERROR(IF(Members!A189="","",Members!C189),"")</f>
        <v/>
      </c>
      <c r="D192" s="17" t="str">
        <f aca="false">IFERROR(IF(Members!A189="","",Members!D189),"")</f>
        <v/>
      </c>
      <c r="E192" s="17" t="str">
        <f aca="false">IF(A192="","",COUNTIF(Completions!A:A,A192))</f>
        <v/>
      </c>
      <c r="F192" s="17" t="str">
        <f aca="false">IF(A192="","",SUMPRODUCT((Completions!A$2:A$5000=A192)*IFERROR(VLOOKUP(Completions!B$2:B$5000,$J$4:$K$18,2,FALSE()),0)))</f>
        <v/>
      </c>
      <c r="G192" s="17" t="str">
        <f aca="false">IF(A192="","",IF(F192&gt;=20,"Gold",IF(F192&gt;=14,"Silver",IF(F192&gt;=8,"Bronze","—"))))</f>
        <v/>
      </c>
      <c r="H192" s="17" t="str">
        <f aca="false">IF(A192="","",IFERROR(TEXT(maxifs(Completions!G:G,Completions!A:A,A192),"yyyy-mm-dd hh:mm"),"—"))</f>
        <v/>
      </c>
    </row>
    <row r="193" customFormat="false" ht="21.75" hidden="false" customHeight="true" outlineLevel="0" collapsed="false">
      <c r="A193" s="16" t="str">
        <f aca="false">IFERROR(IF(Members!A190="","",Members!A190),"")</f>
        <v/>
      </c>
      <c r="B193" s="16" t="str">
        <f aca="false">IFERROR(IF(Members!A190="","",Members!B190),"")</f>
        <v/>
      </c>
      <c r="C193" s="16" t="str">
        <f aca="false">IFERROR(IF(Members!A190="","",Members!C190),"")</f>
        <v/>
      </c>
      <c r="D193" s="16" t="str">
        <f aca="false">IFERROR(IF(Members!A190="","",Members!D190),"")</f>
        <v/>
      </c>
      <c r="E193" s="16" t="str">
        <f aca="false">IF(A193="","",COUNTIF(Completions!A:A,A193))</f>
        <v/>
      </c>
      <c r="F193" s="16" t="str">
        <f aca="false">IF(A193="","",SUMPRODUCT((Completions!A$2:A$5000=A193)*IFERROR(VLOOKUP(Completions!B$2:B$5000,$J$4:$K$18,2,FALSE()),0)))</f>
        <v/>
      </c>
      <c r="G193" s="16" t="str">
        <f aca="false">IF(A193="","",IF(F193&gt;=20,"Gold",IF(F193&gt;=14,"Silver",IF(F193&gt;=8,"Bronze","—"))))</f>
        <v/>
      </c>
      <c r="H193" s="16" t="str">
        <f aca="false">IF(A193="","",IFERROR(TEXT(maxifs(Completions!G:G,Completions!A:A,A193),"yyyy-mm-dd hh:mm"),"—"))</f>
        <v/>
      </c>
    </row>
    <row r="194" customFormat="false" ht="21.75" hidden="false" customHeight="true" outlineLevel="0" collapsed="false">
      <c r="A194" s="17" t="str">
        <f aca="false">IFERROR(IF(Members!A191="","",Members!A191),"")</f>
        <v/>
      </c>
      <c r="B194" s="17" t="str">
        <f aca="false">IFERROR(IF(Members!A191="","",Members!B191),"")</f>
        <v/>
      </c>
      <c r="C194" s="17" t="str">
        <f aca="false">IFERROR(IF(Members!A191="","",Members!C191),"")</f>
        <v/>
      </c>
      <c r="D194" s="17" t="str">
        <f aca="false">IFERROR(IF(Members!A191="","",Members!D191),"")</f>
        <v/>
      </c>
      <c r="E194" s="17" t="str">
        <f aca="false">IF(A194="","",COUNTIF(Completions!A:A,A194))</f>
        <v/>
      </c>
      <c r="F194" s="17" t="str">
        <f aca="false">IF(A194="","",SUMPRODUCT((Completions!A$2:A$5000=A194)*IFERROR(VLOOKUP(Completions!B$2:B$5000,$J$4:$K$18,2,FALSE()),0)))</f>
        <v/>
      </c>
      <c r="G194" s="17" t="str">
        <f aca="false">IF(A194="","",IF(F194&gt;=20,"Gold",IF(F194&gt;=14,"Silver",IF(F194&gt;=8,"Bronze","—"))))</f>
        <v/>
      </c>
      <c r="H194" s="17" t="str">
        <f aca="false">IF(A194="","",IFERROR(TEXT(maxifs(Completions!G:G,Completions!A:A,A194),"yyyy-mm-dd hh:mm"),"—"))</f>
        <v/>
      </c>
    </row>
    <row r="195" customFormat="false" ht="21.75" hidden="false" customHeight="true" outlineLevel="0" collapsed="false">
      <c r="A195" s="16" t="str">
        <f aca="false">IFERROR(IF(Members!A192="","",Members!A192),"")</f>
        <v/>
      </c>
      <c r="B195" s="16" t="str">
        <f aca="false">IFERROR(IF(Members!A192="","",Members!B192),"")</f>
        <v/>
      </c>
      <c r="C195" s="16" t="str">
        <f aca="false">IFERROR(IF(Members!A192="","",Members!C192),"")</f>
        <v/>
      </c>
      <c r="D195" s="16" t="str">
        <f aca="false">IFERROR(IF(Members!A192="","",Members!D192),"")</f>
        <v/>
      </c>
      <c r="E195" s="16" t="str">
        <f aca="false">IF(A195="","",COUNTIF(Completions!A:A,A195))</f>
        <v/>
      </c>
      <c r="F195" s="16" t="str">
        <f aca="false">IF(A195="","",SUMPRODUCT((Completions!A$2:A$5000=A195)*IFERROR(VLOOKUP(Completions!B$2:B$5000,$J$4:$K$18,2,FALSE()),0)))</f>
        <v/>
      </c>
      <c r="G195" s="16" t="str">
        <f aca="false">IF(A195="","",IF(F195&gt;=20,"Gold",IF(F195&gt;=14,"Silver",IF(F195&gt;=8,"Bronze","—"))))</f>
        <v/>
      </c>
      <c r="H195" s="16" t="str">
        <f aca="false">IF(A195="","",IFERROR(TEXT(maxifs(Completions!G:G,Completions!A:A,A195),"yyyy-mm-dd hh:mm"),"—"))</f>
        <v/>
      </c>
    </row>
    <row r="196" customFormat="false" ht="21.75" hidden="false" customHeight="true" outlineLevel="0" collapsed="false">
      <c r="A196" s="17" t="str">
        <f aca="false">IFERROR(IF(Members!A193="","",Members!A193),"")</f>
        <v/>
      </c>
      <c r="B196" s="17" t="str">
        <f aca="false">IFERROR(IF(Members!A193="","",Members!B193),"")</f>
        <v/>
      </c>
      <c r="C196" s="17" t="str">
        <f aca="false">IFERROR(IF(Members!A193="","",Members!C193),"")</f>
        <v/>
      </c>
      <c r="D196" s="17" t="str">
        <f aca="false">IFERROR(IF(Members!A193="","",Members!D193),"")</f>
        <v/>
      </c>
      <c r="E196" s="17" t="str">
        <f aca="false">IF(A196="","",COUNTIF(Completions!A:A,A196))</f>
        <v/>
      </c>
      <c r="F196" s="17" t="str">
        <f aca="false">IF(A196="","",SUMPRODUCT((Completions!A$2:A$5000=A196)*IFERROR(VLOOKUP(Completions!B$2:B$5000,$J$4:$K$18,2,FALSE()),0)))</f>
        <v/>
      </c>
      <c r="G196" s="17" t="str">
        <f aca="false">IF(A196="","",IF(F196&gt;=20,"Gold",IF(F196&gt;=14,"Silver",IF(F196&gt;=8,"Bronze","—"))))</f>
        <v/>
      </c>
      <c r="H196" s="17" t="str">
        <f aca="false">IF(A196="","",IFERROR(TEXT(maxifs(Completions!G:G,Completions!A:A,A196),"yyyy-mm-dd hh:mm"),"—"))</f>
        <v/>
      </c>
    </row>
    <row r="197" customFormat="false" ht="21.75" hidden="false" customHeight="true" outlineLevel="0" collapsed="false">
      <c r="A197" s="16" t="str">
        <f aca="false">IFERROR(IF(Members!A194="","",Members!A194),"")</f>
        <v/>
      </c>
      <c r="B197" s="16" t="str">
        <f aca="false">IFERROR(IF(Members!A194="","",Members!B194),"")</f>
        <v/>
      </c>
      <c r="C197" s="16" t="str">
        <f aca="false">IFERROR(IF(Members!A194="","",Members!C194),"")</f>
        <v/>
      </c>
      <c r="D197" s="16" t="str">
        <f aca="false">IFERROR(IF(Members!A194="","",Members!D194),"")</f>
        <v/>
      </c>
      <c r="E197" s="16" t="str">
        <f aca="false">IF(A197="","",COUNTIF(Completions!A:A,A197))</f>
        <v/>
      </c>
      <c r="F197" s="16" t="str">
        <f aca="false">IF(A197="","",SUMPRODUCT((Completions!A$2:A$5000=A197)*IFERROR(VLOOKUP(Completions!B$2:B$5000,$J$4:$K$18,2,FALSE()),0)))</f>
        <v/>
      </c>
      <c r="G197" s="16" t="str">
        <f aca="false">IF(A197="","",IF(F197&gt;=20,"Gold",IF(F197&gt;=14,"Silver",IF(F197&gt;=8,"Bronze","—"))))</f>
        <v/>
      </c>
      <c r="H197" s="16" t="str">
        <f aca="false">IF(A197="","",IFERROR(TEXT(maxifs(Completions!G:G,Completions!A:A,A197),"yyyy-mm-dd hh:mm"),"—"))</f>
        <v/>
      </c>
    </row>
    <row r="198" customFormat="false" ht="21.75" hidden="false" customHeight="true" outlineLevel="0" collapsed="false">
      <c r="A198" s="17" t="str">
        <f aca="false">IFERROR(IF(Members!A195="","",Members!A195),"")</f>
        <v/>
      </c>
      <c r="B198" s="17" t="str">
        <f aca="false">IFERROR(IF(Members!A195="","",Members!B195),"")</f>
        <v/>
      </c>
      <c r="C198" s="17" t="str">
        <f aca="false">IFERROR(IF(Members!A195="","",Members!C195),"")</f>
        <v/>
      </c>
      <c r="D198" s="17" t="str">
        <f aca="false">IFERROR(IF(Members!A195="","",Members!D195),"")</f>
        <v/>
      </c>
      <c r="E198" s="17" t="str">
        <f aca="false">IF(A198="","",COUNTIF(Completions!A:A,A198))</f>
        <v/>
      </c>
      <c r="F198" s="17" t="str">
        <f aca="false">IF(A198="","",SUMPRODUCT((Completions!A$2:A$5000=A198)*IFERROR(VLOOKUP(Completions!B$2:B$5000,$J$4:$K$18,2,FALSE()),0)))</f>
        <v/>
      </c>
      <c r="G198" s="17" t="str">
        <f aca="false">IF(A198="","",IF(F198&gt;=20,"Gold",IF(F198&gt;=14,"Silver",IF(F198&gt;=8,"Bronze","—"))))</f>
        <v/>
      </c>
      <c r="H198" s="17" t="str">
        <f aca="false">IF(A198="","",IFERROR(TEXT(maxifs(Completions!G:G,Completions!A:A,A198),"yyyy-mm-dd hh:mm"),"—"))</f>
        <v/>
      </c>
    </row>
    <row r="199" customFormat="false" ht="21.75" hidden="false" customHeight="true" outlineLevel="0" collapsed="false">
      <c r="A199" s="16" t="str">
        <f aca="false">IFERROR(IF(Members!A196="","",Members!A196),"")</f>
        <v/>
      </c>
      <c r="B199" s="16" t="str">
        <f aca="false">IFERROR(IF(Members!A196="","",Members!B196),"")</f>
        <v/>
      </c>
      <c r="C199" s="16" t="str">
        <f aca="false">IFERROR(IF(Members!A196="","",Members!C196),"")</f>
        <v/>
      </c>
      <c r="D199" s="16" t="str">
        <f aca="false">IFERROR(IF(Members!A196="","",Members!D196),"")</f>
        <v/>
      </c>
      <c r="E199" s="16" t="str">
        <f aca="false">IF(A199="","",COUNTIF(Completions!A:A,A199))</f>
        <v/>
      </c>
      <c r="F199" s="16" t="str">
        <f aca="false">IF(A199="","",SUMPRODUCT((Completions!A$2:A$5000=A199)*IFERROR(VLOOKUP(Completions!B$2:B$5000,$J$4:$K$18,2,FALSE()),0)))</f>
        <v/>
      </c>
      <c r="G199" s="16" t="str">
        <f aca="false">IF(A199="","",IF(F199&gt;=20,"Gold",IF(F199&gt;=14,"Silver",IF(F199&gt;=8,"Bronze","—"))))</f>
        <v/>
      </c>
      <c r="H199" s="16" t="str">
        <f aca="false">IF(A199="","",IFERROR(TEXT(maxifs(Completions!G:G,Completions!A:A,A199),"yyyy-mm-dd hh:mm"),"—"))</f>
        <v/>
      </c>
    </row>
    <row r="200" customFormat="false" ht="21.75" hidden="false" customHeight="true" outlineLevel="0" collapsed="false">
      <c r="A200" s="17" t="str">
        <f aca="false">IFERROR(IF(Members!A197="","",Members!A197),"")</f>
        <v/>
      </c>
      <c r="B200" s="17" t="str">
        <f aca="false">IFERROR(IF(Members!A197="","",Members!B197),"")</f>
        <v/>
      </c>
      <c r="C200" s="17" t="str">
        <f aca="false">IFERROR(IF(Members!A197="","",Members!C197),"")</f>
        <v/>
      </c>
      <c r="D200" s="17" t="str">
        <f aca="false">IFERROR(IF(Members!A197="","",Members!D197),"")</f>
        <v/>
      </c>
      <c r="E200" s="17" t="str">
        <f aca="false">IF(A200="","",COUNTIF(Completions!A:A,A200))</f>
        <v/>
      </c>
      <c r="F200" s="17" t="str">
        <f aca="false">IF(A200="","",SUMPRODUCT((Completions!A$2:A$5000=A200)*IFERROR(VLOOKUP(Completions!B$2:B$5000,$J$4:$K$18,2,FALSE()),0)))</f>
        <v/>
      </c>
      <c r="G200" s="17" t="str">
        <f aca="false">IF(A200="","",IF(F200&gt;=20,"Gold",IF(F200&gt;=14,"Silver",IF(F200&gt;=8,"Bronze","—"))))</f>
        <v/>
      </c>
      <c r="H200" s="17" t="str">
        <f aca="false">IF(A200="","",IFERROR(TEXT(maxifs(Completions!G:G,Completions!A:A,A200),"yyyy-mm-dd hh:mm"),"—"))</f>
        <v/>
      </c>
    </row>
    <row r="201" customFormat="false" ht="21.75" hidden="false" customHeight="true" outlineLevel="0" collapsed="false">
      <c r="A201" s="16" t="str">
        <f aca="false">IFERROR(IF(Members!A198="","",Members!A198),"")</f>
        <v/>
      </c>
      <c r="B201" s="16" t="str">
        <f aca="false">IFERROR(IF(Members!A198="","",Members!B198),"")</f>
        <v/>
      </c>
      <c r="C201" s="16" t="str">
        <f aca="false">IFERROR(IF(Members!A198="","",Members!C198),"")</f>
        <v/>
      </c>
      <c r="D201" s="16" t="str">
        <f aca="false">IFERROR(IF(Members!A198="","",Members!D198),"")</f>
        <v/>
      </c>
      <c r="E201" s="16" t="str">
        <f aca="false">IF(A201="","",COUNTIF(Completions!A:A,A201))</f>
        <v/>
      </c>
      <c r="F201" s="16" t="str">
        <f aca="false">IF(A201="","",SUMPRODUCT((Completions!A$2:A$5000=A201)*IFERROR(VLOOKUP(Completions!B$2:B$5000,$J$4:$K$18,2,FALSE()),0)))</f>
        <v/>
      </c>
      <c r="G201" s="16" t="str">
        <f aca="false">IF(A201="","",IF(F201&gt;=20,"Gold",IF(F201&gt;=14,"Silver",IF(F201&gt;=8,"Bronze","—"))))</f>
        <v/>
      </c>
      <c r="H201" s="16" t="str">
        <f aca="false">IF(A201="","",IFERROR(TEXT(maxifs(Completions!G:G,Completions!A:A,A201),"yyyy-mm-dd hh:mm"),"—"))</f>
        <v/>
      </c>
    </row>
    <row r="202" customFormat="false" ht="21.75" hidden="false" customHeight="true" outlineLevel="0" collapsed="false">
      <c r="A202" s="17" t="str">
        <f aca="false">IFERROR(IF(Members!A199="","",Members!A199),"")</f>
        <v/>
      </c>
      <c r="B202" s="17" t="str">
        <f aca="false">IFERROR(IF(Members!A199="","",Members!B199),"")</f>
        <v/>
      </c>
      <c r="C202" s="17" t="str">
        <f aca="false">IFERROR(IF(Members!A199="","",Members!C199),"")</f>
        <v/>
      </c>
      <c r="D202" s="17" t="str">
        <f aca="false">IFERROR(IF(Members!A199="","",Members!D199),"")</f>
        <v/>
      </c>
      <c r="E202" s="17" t="str">
        <f aca="false">IF(A202="","",COUNTIF(Completions!A:A,A202))</f>
        <v/>
      </c>
      <c r="F202" s="17" t="str">
        <f aca="false">IF(A202="","",SUMPRODUCT((Completions!A$2:A$5000=A202)*IFERROR(VLOOKUP(Completions!B$2:B$5000,$J$4:$K$18,2,FALSE()),0)))</f>
        <v/>
      </c>
      <c r="G202" s="17" t="str">
        <f aca="false">IF(A202="","",IF(F202&gt;=20,"Gold",IF(F202&gt;=14,"Silver",IF(F202&gt;=8,"Bronze","—"))))</f>
        <v/>
      </c>
      <c r="H202" s="17" t="str">
        <f aca="false">IF(A202="","",IFERROR(TEXT(maxifs(Completions!G:G,Completions!A:A,A202),"yyyy-mm-dd hh:mm"),"—"))</f>
        <v/>
      </c>
    </row>
    <row r="203" customFormat="false" ht="21.75" hidden="false" customHeight="true" outlineLevel="0" collapsed="false">
      <c r="A203" s="16" t="str">
        <f aca="false">IFERROR(IF(Members!A200="","",Members!A200),"")</f>
        <v/>
      </c>
      <c r="B203" s="16" t="str">
        <f aca="false">IFERROR(IF(Members!A200="","",Members!B200),"")</f>
        <v/>
      </c>
      <c r="C203" s="16" t="str">
        <f aca="false">IFERROR(IF(Members!A200="","",Members!C200),"")</f>
        <v/>
      </c>
      <c r="D203" s="16" t="str">
        <f aca="false">IFERROR(IF(Members!A200="","",Members!D200),"")</f>
        <v/>
      </c>
      <c r="E203" s="16" t="str">
        <f aca="false">IF(A203="","",COUNTIF(Completions!A:A,A203))</f>
        <v/>
      </c>
      <c r="F203" s="16" t="str">
        <f aca="false">IF(A203="","",SUMPRODUCT((Completions!A$2:A$5000=A203)*IFERROR(VLOOKUP(Completions!B$2:B$5000,$J$4:$K$18,2,FALSE()),0)))</f>
        <v/>
      </c>
      <c r="G203" s="16" t="str">
        <f aca="false">IF(A203="","",IF(F203&gt;=20,"Gold",IF(F203&gt;=14,"Silver",IF(F203&gt;=8,"Bronze","—"))))</f>
        <v/>
      </c>
      <c r="H203" s="16" t="str">
        <f aca="false">IF(A203="","",IFERROR(TEXT(maxifs(Completions!G:G,Completions!A:A,A203),"yyyy-mm-dd hh:mm"),"—"))</f>
        <v/>
      </c>
    </row>
    <row r="204" customFormat="false" ht="21.75" hidden="false" customHeight="true" outlineLevel="0" collapsed="false">
      <c r="A204" s="17" t="str">
        <f aca="false">IFERROR(IF(Members!A201="","",Members!A201),"")</f>
        <v/>
      </c>
      <c r="B204" s="17" t="str">
        <f aca="false">IFERROR(IF(Members!A201="","",Members!B201),"")</f>
        <v/>
      </c>
      <c r="C204" s="17" t="str">
        <f aca="false">IFERROR(IF(Members!A201="","",Members!C201),"")</f>
        <v/>
      </c>
      <c r="D204" s="17" t="str">
        <f aca="false">IFERROR(IF(Members!A201="","",Members!D201),"")</f>
        <v/>
      </c>
      <c r="E204" s="17" t="str">
        <f aca="false">IF(A204="","",COUNTIF(Completions!A:A,A204))</f>
        <v/>
      </c>
      <c r="F204" s="17" t="str">
        <f aca="false">IF(A204="","",SUMPRODUCT((Completions!A$2:A$5000=A204)*IFERROR(VLOOKUP(Completions!B$2:B$5000,$J$4:$K$18,2,FALSE()),0)))</f>
        <v/>
      </c>
      <c r="G204" s="17" t="str">
        <f aca="false">IF(A204="","",IF(F204&gt;=20,"Gold",IF(F204&gt;=14,"Silver",IF(F204&gt;=8,"Bronze","—"))))</f>
        <v/>
      </c>
      <c r="H204" s="17" t="str">
        <f aca="false">IF(A204="","",IFERROR(TEXT(maxifs(Completions!G:G,Completions!A:A,A204),"yyyy-mm-dd hh:mm"),"—"))</f>
        <v/>
      </c>
    </row>
    <row r="205" customFormat="false" ht="21.75" hidden="false" customHeight="true" outlineLevel="0" collapsed="false">
      <c r="A205" s="16" t="str">
        <f aca="false">IFERROR(IF(Members!A202="","",Members!A202),"")</f>
        <v/>
      </c>
      <c r="B205" s="16" t="str">
        <f aca="false">IFERROR(IF(Members!A202="","",Members!B202),"")</f>
        <v/>
      </c>
      <c r="C205" s="16" t="str">
        <f aca="false">IFERROR(IF(Members!A202="","",Members!C202),"")</f>
        <v/>
      </c>
      <c r="D205" s="16" t="str">
        <f aca="false">IFERROR(IF(Members!A202="","",Members!D202),"")</f>
        <v/>
      </c>
      <c r="E205" s="16" t="str">
        <f aca="false">IF(A205="","",COUNTIF(Completions!A:A,A205))</f>
        <v/>
      </c>
      <c r="F205" s="16" t="str">
        <f aca="false">IF(A205="","",SUMPRODUCT((Completions!A$2:A$5000=A205)*IFERROR(VLOOKUP(Completions!B$2:B$5000,$J$4:$K$18,2,FALSE()),0)))</f>
        <v/>
      </c>
      <c r="G205" s="16" t="str">
        <f aca="false">IF(A205="","",IF(F205&gt;=20,"Gold",IF(F205&gt;=14,"Silver",IF(F205&gt;=8,"Bronze","—"))))</f>
        <v/>
      </c>
      <c r="H205" s="16" t="str">
        <f aca="false">IF(A205="","",IFERROR(TEXT(maxifs(Completions!G:G,Completions!A:A,A205),"yyyy-mm-dd hh:mm"),"—"))</f>
        <v/>
      </c>
    </row>
    <row r="206" customFormat="false" ht="21.75" hidden="false" customHeight="true" outlineLevel="0" collapsed="false">
      <c r="A206" s="17" t="str">
        <f aca="false">IFERROR(IF(Members!A203="","",Members!A203),"")</f>
        <v/>
      </c>
      <c r="B206" s="17" t="str">
        <f aca="false">IFERROR(IF(Members!A203="","",Members!B203),"")</f>
        <v/>
      </c>
      <c r="C206" s="17" t="str">
        <f aca="false">IFERROR(IF(Members!A203="","",Members!C203),"")</f>
        <v/>
      </c>
      <c r="D206" s="17" t="str">
        <f aca="false">IFERROR(IF(Members!A203="","",Members!D203),"")</f>
        <v/>
      </c>
      <c r="E206" s="17" t="str">
        <f aca="false">IF(A206="","",COUNTIF(Completions!A:A,A206))</f>
        <v/>
      </c>
      <c r="F206" s="17" t="str">
        <f aca="false">IF(A206="","",SUMPRODUCT((Completions!A$2:A$5000=A206)*IFERROR(VLOOKUP(Completions!B$2:B$5000,$J$4:$K$18,2,FALSE()),0)))</f>
        <v/>
      </c>
      <c r="G206" s="17" t="str">
        <f aca="false">IF(A206="","",IF(F206&gt;=20,"Gold",IF(F206&gt;=14,"Silver",IF(F206&gt;=8,"Bronze","—"))))</f>
        <v/>
      </c>
      <c r="H206" s="17" t="str">
        <f aca="false">IF(A206="","",IFERROR(TEXT(maxifs(Completions!G:G,Completions!A:A,A206),"yyyy-mm-dd hh:mm"),"—"))</f>
        <v/>
      </c>
    </row>
    <row r="207" customFormat="false" ht="21.75" hidden="false" customHeight="true" outlineLevel="0" collapsed="false">
      <c r="A207" s="16" t="str">
        <f aca="false">IFERROR(IF(Members!A204="","",Members!A204),"")</f>
        <v/>
      </c>
      <c r="B207" s="16" t="str">
        <f aca="false">IFERROR(IF(Members!A204="","",Members!B204),"")</f>
        <v/>
      </c>
      <c r="C207" s="16" t="str">
        <f aca="false">IFERROR(IF(Members!A204="","",Members!C204),"")</f>
        <v/>
      </c>
      <c r="D207" s="16" t="str">
        <f aca="false">IFERROR(IF(Members!A204="","",Members!D204),"")</f>
        <v/>
      </c>
      <c r="E207" s="16" t="str">
        <f aca="false">IF(A207="","",COUNTIF(Completions!A:A,A207))</f>
        <v/>
      </c>
      <c r="F207" s="16" t="str">
        <f aca="false">IF(A207="","",SUMPRODUCT((Completions!A$2:A$5000=A207)*IFERROR(VLOOKUP(Completions!B$2:B$5000,$J$4:$K$18,2,FALSE()),0)))</f>
        <v/>
      </c>
      <c r="G207" s="16" t="str">
        <f aca="false">IF(A207="","",IF(F207&gt;=20,"Gold",IF(F207&gt;=14,"Silver",IF(F207&gt;=8,"Bronze","—"))))</f>
        <v/>
      </c>
      <c r="H207" s="16" t="str">
        <f aca="false">IF(A207="","",IFERROR(TEXT(maxifs(Completions!G:G,Completions!A:A,A207),"yyyy-mm-dd hh:mm"),"—"))</f>
        <v/>
      </c>
    </row>
    <row r="208" customFormat="false" ht="21.75" hidden="false" customHeight="true" outlineLevel="0" collapsed="false">
      <c r="A208" s="17" t="str">
        <f aca="false">IFERROR(IF(Members!A205="","",Members!A205),"")</f>
        <v/>
      </c>
      <c r="B208" s="17" t="str">
        <f aca="false">IFERROR(IF(Members!A205="","",Members!B205),"")</f>
        <v/>
      </c>
      <c r="C208" s="17" t="str">
        <f aca="false">IFERROR(IF(Members!A205="","",Members!C205),"")</f>
        <v/>
      </c>
      <c r="D208" s="17" t="str">
        <f aca="false">IFERROR(IF(Members!A205="","",Members!D205),"")</f>
        <v/>
      </c>
      <c r="E208" s="17" t="str">
        <f aca="false">IF(A208="","",COUNTIF(Completions!A:A,A208))</f>
        <v/>
      </c>
      <c r="F208" s="17" t="str">
        <f aca="false">IF(A208="","",SUMPRODUCT((Completions!A$2:A$5000=A208)*IFERROR(VLOOKUP(Completions!B$2:B$5000,$J$4:$K$18,2,FALSE()),0)))</f>
        <v/>
      </c>
      <c r="G208" s="17" t="str">
        <f aca="false">IF(A208="","",IF(F208&gt;=20,"Gold",IF(F208&gt;=14,"Silver",IF(F208&gt;=8,"Bronze","—"))))</f>
        <v/>
      </c>
      <c r="H208" s="17" t="str">
        <f aca="false">IF(A208="","",IFERROR(TEXT(maxifs(Completions!G:G,Completions!A:A,A208),"yyyy-mm-dd hh:mm"),"—"))</f>
        <v/>
      </c>
    </row>
    <row r="209" customFormat="false" ht="21.75" hidden="false" customHeight="true" outlineLevel="0" collapsed="false">
      <c r="A209" s="16" t="str">
        <f aca="false">IFERROR(IF(Members!A206="","",Members!A206),"")</f>
        <v/>
      </c>
      <c r="B209" s="16" t="str">
        <f aca="false">IFERROR(IF(Members!A206="","",Members!B206),"")</f>
        <v/>
      </c>
      <c r="C209" s="16" t="str">
        <f aca="false">IFERROR(IF(Members!A206="","",Members!C206),"")</f>
        <v/>
      </c>
      <c r="D209" s="16" t="str">
        <f aca="false">IFERROR(IF(Members!A206="","",Members!D206),"")</f>
        <v/>
      </c>
      <c r="E209" s="16" t="str">
        <f aca="false">IF(A209="","",COUNTIF(Completions!A:A,A209))</f>
        <v/>
      </c>
      <c r="F209" s="16" t="str">
        <f aca="false">IF(A209="","",SUMPRODUCT((Completions!A$2:A$5000=A209)*IFERROR(VLOOKUP(Completions!B$2:B$5000,$J$4:$K$18,2,FALSE()),0)))</f>
        <v/>
      </c>
      <c r="G209" s="16" t="str">
        <f aca="false">IF(A209="","",IF(F209&gt;=20,"Gold",IF(F209&gt;=14,"Silver",IF(F209&gt;=8,"Bronze","—"))))</f>
        <v/>
      </c>
      <c r="H209" s="16" t="str">
        <f aca="false">IF(A209="","",IFERROR(TEXT(maxifs(Completions!G:G,Completions!A:A,A209),"yyyy-mm-dd hh:mm"),"—"))</f>
        <v/>
      </c>
    </row>
    <row r="210" customFormat="false" ht="21.75" hidden="false" customHeight="true" outlineLevel="0" collapsed="false">
      <c r="A210" s="17" t="str">
        <f aca="false">IFERROR(IF(Members!A207="","",Members!A207),"")</f>
        <v/>
      </c>
      <c r="B210" s="17" t="str">
        <f aca="false">IFERROR(IF(Members!A207="","",Members!B207),"")</f>
        <v/>
      </c>
      <c r="C210" s="17" t="str">
        <f aca="false">IFERROR(IF(Members!A207="","",Members!C207),"")</f>
        <v/>
      </c>
      <c r="D210" s="17" t="str">
        <f aca="false">IFERROR(IF(Members!A207="","",Members!D207),"")</f>
        <v/>
      </c>
      <c r="E210" s="17" t="str">
        <f aca="false">IF(A210="","",COUNTIF(Completions!A:A,A210))</f>
        <v/>
      </c>
      <c r="F210" s="17" t="str">
        <f aca="false">IF(A210="","",SUMPRODUCT((Completions!A$2:A$5000=A210)*IFERROR(VLOOKUP(Completions!B$2:B$5000,$J$4:$K$18,2,FALSE()),0)))</f>
        <v/>
      </c>
      <c r="G210" s="17" t="str">
        <f aca="false">IF(A210="","",IF(F210&gt;=20,"Gold",IF(F210&gt;=14,"Silver",IF(F210&gt;=8,"Bronze","—"))))</f>
        <v/>
      </c>
      <c r="H210" s="17" t="str">
        <f aca="false">IF(A210="","",IFERROR(TEXT(maxifs(Completions!G:G,Completions!A:A,A210),"yyyy-mm-dd hh:mm"),"—"))</f>
        <v/>
      </c>
    </row>
    <row r="211" customFormat="false" ht="21.75" hidden="false" customHeight="true" outlineLevel="0" collapsed="false">
      <c r="A211" s="16" t="str">
        <f aca="false">IFERROR(IF(Members!A208="","",Members!A208),"")</f>
        <v/>
      </c>
      <c r="B211" s="16" t="str">
        <f aca="false">IFERROR(IF(Members!A208="","",Members!B208),"")</f>
        <v/>
      </c>
      <c r="C211" s="16" t="str">
        <f aca="false">IFERROR(IF(Members!A208="","",Members!C208),"")</f>
        <v/>
      </c>
      <c r="D211" s="16" t="str">
        <f aca="false">IFERROR(IF(Members!A208="","",Members!D208),"")</f>
        <v/>
      </c>
      <c r="E211" s="16" t="str">
        <f aca="false">IF(A211="","",COUNTIF(Completions!A:A,A211))</f>
        <v/>
      </c>
      <c r="F211" s="16" t="str">
        <f aca="false">IF(A211="","",SUMPRODUCT((Completions!A$2:A$5000=A211)*IFERROR(VLOOKUP(Completions!B$2:B$5000,$J$4:$K$18,2,FALSE()),0)))</f>
        <v/>
      </c>
      <c r="G211" s="16" t="str">
        <f aca="false">IF(A211="","",IF(F211&gt;=20,"Gold",IF(F211&gt;=14,"Silver",IF(F211&gt;=8,"Bronze","—"))))</f>
        <v/>
      </c>
      <c r="H211" s="16" t="str">
        <f aca="false">IF(A211="","",IFERROR(TEXT(maxifs(Completions!G:G,Completions!A:A,A211),"yyyy-mm-dd hh:mm"),"—"))</f>
        <v/>
      </c>
    </row>
    <row r="212" customFormat="false" ht="21.75" hidden="false" customHeight="true" outlineLevel="0" collapsed="false">
      <c r="A212" s="17" t="str">
        <f aca="false">IFERROR(IF(Members!A209="","",Members!A209),"")</f>
        <v/>
      </c>
      <c r="B212" s="17" t="str">
        <f aca="false">IFERROR(IF(Members!A209="","",Members!B209),"")</f>
        <v/>
      </c>
      <c r="C212" s="17" t="str">
        <f aca="false">IFERROR(IF(Members!A209="","",Members!C209),"")</f>
        <v/>
      </c>
      <c r="D212" s="17" t="str">
        <f aca="false">IFERROR(IF(Members!A209="","",Members!D209),"")</f>
        <v/>
      </c>
      <c r="E212" s="17" t="str">
        <f aca="false">IF(A212="","",COUNTIF(Completions!A:A,A212))</f>
        <v/>
      </c>
      <c r="F212" s="17" t="str">
        <f aca="false">IF(A212="","",SUMPRODUCT((Completions!A$2:A$5000=A212)*IFERROR(VLOOKUP(Completions!B$2:B$5000,$J$4:$K$18,2,FALSE()),0)))</f>
        <v/>
      </c>
      <c r="G212" s="17" t="str">
        <f aca="false">IF(A212="","",IF(F212&gt;=20,"Gold",IF(F212&gt;=14,"Silver",IF(F212&gt;=8,"Bronze","—"))))</f>
        <v/>
      </c>
      <c r="H212" s="17" t="str">
        <f aca="false">IF(A212="","",IFERROR(TEXT(maxifs(Completions!G:G,Completions!A:A,A212),"yyyy-mm-dd hh:mm"),"—"))</f>
        <v/>
      </c>
    </row>
    <row r="213" customFormat="false" ht="21.75" hidden="false" customHeight="true" outlineLevel="0" collapsed="false">
      <c r="A213" s="16" t="str">
        <f aca="false">IFERROR(IF(Members!A210="","",Members!A210),"")</f>
        <v/>
      </c>
      <c r="B213" s="16" t="str">
        <f aca="false">IFERROR(IF(Members!A210="","",Members!B210),"")</f>
        <v/>
      </c>
      <c r="C213" s="16" t="str">
        <f aca="false">IFERROR(IF(Members!A210="","",Members!C210),"")</f>
        <v/>
      </c>
      <c r="D213" s="16" t="str">
        <f aca="false">IFERROR(IF(Members!A210="","",Members!D210),"")</f>
        <v/>
      </c>
      <c r="E213" s="16" t="str">
        <f aca="false">IF(A213="","",COUNTIF(Completions!A:A,A213))</f>
        <v/>
      </c>
      <c r="F213" s="16" t="str">
        <f aca="false">IF(A213="","",SUMPRODUCT((Completions!A$2:A$5000=A213)*IFERROR(VLOOKUP(Completions!B$2:B$5000,$J$4:$K$18,2,FALSE()),0)))</f>
        <v/>
      </c>
      <c r="G213" s="16" t="str">
        <f aca="false">IF(A213="","",IF(F213&gt;=20,"Gold",IF(F213&gt;=14,"Silver",IF(F213&gt;=8,"Bronze","—"))))</f>
        <v/>
      </c>
      <c r="H213" s="16" t="str">
        <f aca="false">IF(A213="","",IFERROR(TEXT(maxifs(Completions!G:G,Completions!A:A,A213),"yyyy-mm-dd hh:mm"),"—"))</f>
        <v/>
      </c>
    </row>
    <row r="214" customFormat="false" ht="21.75" hidden="false" customHeight="true" outlineLevel="0" collapsed="false">
      <c r="A214" s="17" t="str">
        <f aca="false">IFERROR(IF(Members!A211="","",Members!A211),"")</f>
        <v/>
      </c>
      <c r="B214" s="17" t="str">
        <f aca="false">IFERROR(IF(Members!A211="","",Members!B211),"")</f>
        <v/>
      </c>
      <c r="C214" s="17" t="str">
        <f aca="false">IFERROR(IF(Members!A211="","",Members!C211),"")</f>
        <v/>
      </c>
      <c r="D214" s="17" t="str">
        <f aca="false">IFERROR(IF(Members!A211="","",Members!D211),"")</f>
        <v/>
      </c>
      <c r="E214" s="17" t="str">
        <f aca="false">IF(A214="","",COUNTIF(Completions!A:A,A214))</f>
        <v/>
      </c>
      <c r="F214" s="17" t="str">
        <f aca="false">IF(A214="","",SUMPRODUCT((Completions!A$2:A$5000=A214)*IFERROR(VLOOKUP(Completions!B$2:B$5000,$J$4:$K$18,2,FALSE()),0)))</f>
        <v/>
      </c>
      <c r="G214" s="17" t="str">
        <f aca="false">IF(A214="","",IF(F214&gt;=20,"Gold",IF(F214&gt;=14,"Silver",IF(F214&gt;=8,"Bronze","—"))))</f>
        <v/>
      </c>
      <c r="H214" s="17" t="str">
        <f aca="false">IF(A214="","",IFERROR(TEXT(maxifs(Completions!G:G,Completions!A:A,A214),"yyyy-mm-dd hh:mm"),"—"))</f>
        <v/>
      </c>
    </row>
    <row r="215" customFormat="false" ht="21.75" hidden="false" customHeight="true" outlineLevel="0" collapsed="false">
      <c r="A215" s="16" t="str">
        <f aca="false">IFERROR(IF(Members!A212="","",Members!A212),"")</f>
        <v/>
      </c>
      <c r="B215" s="16" t="str">
        <f aca="false">IFERROR(IF(Members!A212="","",Members!B212),"")</f>
        <v/>
      </c>
      <c r="C215" s="16" t="str">
        <f aca="false">IFERROR(IF(Members!A212="","",Members!C212),"")</f>
        <v/>
      </c>
      <c r="D215" s="16" t="str">
        <f aca="false">IFERROR(IF(Members!A212="","",Members!D212),"")</f>
        <v/>
      </c>
      <c r="E215" s="16" t="str">
        <f aca="false">IF(A215="","",COUNTIF(Completions!A:A,A215))</f>
        <v/>
      </c>
      <c r="F215" s="16" t="str">
        <f aca="false">IF(A215="","",SUMPRODUCT((Completions!A$2:A$5000=A215)*IFERROR(VLOOKUP(Completions!B$2:B$5000,$J$4:$K$18,2,FALSE()),0)))</f>
        <v/>
      </c>
      <c r="G215" s="16" t="str">
        <f aca="false">IF(A215="","",IF(F215&gt;=20,"Gold",IF(F215&gt;=14,"Silver",IF(F215&gt;=8,"Bronze","—"))))</f>
        <v/>
      </c>
      <c r="H215" s="16" t="str">
        <f aca="false">IF(A215="","",IFERROR(TEXT(maxifs(Completions!G:G,Completions!A:A,A215),"yyyy-mm-dd hh:mm"),"—"))</f>
        <v/>
      </c>
    </row>
    <row r="216" customFormat="false" ht="21.75" hidden="false" customHeight="true" outlineLevel="0" collapsed="false">
      <c r="A216" s="17" t="str">
        <f aca="false">IFERROR(IF(Members!A213="","",Members!A213),"")</f>
        <v/>
      </c>
      <c r="B216" s="17" t="str">
        <f aca="false">IFERROR(IF(Members!A213="","",Members!B213),"")</f>
        <v/>
      </c>
      <c r="C216" s="17" t="str">
        <f aca="false">IFERROR(IF(Members!A213="","",Members!C213),"")</f>
        <v/>
      </c>
      <c r="D216" s="17" t="str">
        <f aca="false">IFERROR(IF(Members!A213="","",Members!D213),"")</f>
        <v/>
      </c>
      <c r="E216" s="17" t="str">
        <f aca="false">IF(A216="","",COUNTIF(Completions!A:A,A216))</f>
        <v/>
      </c>
      <c r="F216" s="17" t="str">
        <f aca="false">IF(A216="","",SUMPRODUCT((Completions!A$2:A$5000=A216)*IFERROR(VLOOKUP(Completions!B$2:B$5000,$J$4:$K$18,2,FALSE()),0)))</f>
        <v/>
      </c>
      <c r="G216" s="17" t="str">
        <f aca="false">IF(A216="","",IF(F216&gt;=20,"Gold",IF(F216&gt;=14,"Silver",IF(F216&gt;=8,"Bronze","—"))))</f>
        <v/>
      </c>
      <c r="H216" s="17" t="str">
        <f aca="false">IF(A216="","",IFERROR(TEXT(maxifs(Completions!G:G,Completions!A:A,A216),"yyyy-mm-dd hh:mm"),"—"))</f>
        <v/>
      </c>
    </row>
    <row r="217" customFormat="false" ht="21.75" hidden="false" customHeight="true" outlineLevel="0" collapsed="false">
      <c r="A217" s="16" t="str">
        <f aca="false">IFERROR(IF(Members!A214="","",Members!A214),"")</f>
        <v/>
      </c>
      <c r="B217" s="16" t="str">
        <f aca="false">IFERROR(IF(Members!A214="","",Members!B214),"")</f>
        <v/>
      </c>
      <c r="C217" s="16" t="str">
        <f aca="false">IFERROR(IF(Members!A214="","",Members!C214),"")</f>
        <v/>
      </c>
      <c r="D217" s="16" t="str">
        <f aca="false">IFERROR(IF(Members!A214="","",Members!D214),"")</f>
        <v/>
      </c>
      <c r="E217" s="16" t="str">
        <f aca="false">IF(A217="","",COUNTIF(Completions!A:A,A217))</f>
        <v/>
      </c>
      <c r="F217" s="16" t="str">
        <f aca="false">IF(A217="","",SUMPRODUCT((Completions!A$2:A$5000=A217)*IFERROR(VLOOKUP(Completions!B$2:B$5000,$J$4:$K$18,2,FALSE()),0)))</f>
        <v/>
      </c>
      <c r="G217" s="16" t="str">
        <f aca="false">IF(A217="","",IF(F217&gt;=20,"Gold",IF(F217&gt;=14,"Silver",IF(F217&gt;=8,"Bronze","—"))))</f>
        <v/>
      </c>
      <c r="H217" s="16" t="str">
        <f aca="false">IF(A217="","",IFERROR(TEXT(maxifs(Completions!G:G,Completions!A:A,A217),"yyyy-mm-dd hh:mm"),"—"))</f>
        <v/>
      </c>
    </row>
    <row r="218" customFormat="false" ht="21.75" hidden="false" customHeight="true" outlineLevel="0" collapsed="false">
      <c r="A218" s="17" t="str">
        <f aca="false">IFERROR(IF(Members!A215="","",Members!A215),"")</f>
        <v/>
      </c>
      <c r="B218" s="17" t="str">
        <f aca="false">IFERROR(IF(Members!A215="","",Members!B215),"")</f>
        <v/>
      </c>
      <c r="C218" s="17" t="str">
        <f aca="false">IFERROR(IF(Members!A215="","",Members!C215),"")</f>
        <v/>
      </c>
      <c r="D218" s="17" t="str">
        <f aca="false">IFERROR(IF(Members!A215="","",Members!D215),"")</f>
        <v/>
      </c>
      <c r="E218" s="17" t="str">
        <f aca="false">IF(A218="","",COUNTIF(Completions!A:A,A218))</f>
        <v/>
      </c>
      <c r="F218" s="17" t="str">
        <f aca="false">IF(A218="","",SUMPRODUCT((Completions!A$2:A$5000=A218)*IFERROR(VLOOKUP(Completions!B$2:B$5000,$J$4:$K$18,2,FALSE()),0)))</f>
        <v/>
      </c>
      <c r="G218" s="17" t="str">
        <f aca="false">IF(A218="","",IF(F218&gt;=20,"Gold",IF(F218&gt;=14,"Silver",IF(F218&gt;=8,"Bronze","—"))))</f>
        <v/>
      </c>
      <c r="H218" s="17" t="str">
        <f aca="false">IF(A218="","",IFERROR(TEXT(maxifs(Completions!G:G,Completions!A:A,A218),"yyyy-mm-dd hh:mm"),"—"))</f>
        <v/>
      </c>
    </row>
    <row r="219" customFormat="false" ht="21.75" hidden="false" customHeight="true" outlineLevel="0" collapsed="false">
      <c r="A219" s="16" t="str">
        <f aca="false">IFERROR(IF(Members!A216="","",Members!A216),"")</f>
        <v/>
      </c>
      <c r="B219" s="16" t="str">
        <f aca="false">IFERROR(IF(Members!A216="","",Members!B216),"")</f>
        <v/>
      </c>
      <c r="C219" s="16" t="str">
        <f aca="false">IFERROR(IF(Members!A216="","",Members!C216),"")</f>
        <v/>
      </c>
      <c r="D219" s="16" t="str">
        <f aca="false">IFERROR(IF(Members!A216="","",Members!D216),"")</f>
        <v/>
      </c>
      <c r="E219" s="16" t="str">
        <f aca="false">IF(A219="","",COUNTIF(Completions!A:A,A219))</f>
        <v/>
      </c>
      <c r="F219" s="16" t="str">
        <f aca="false">IF(A219="","",SUMPRODUCT((Completions!A$2:A$5000=A219)*IFERROR(VLOOKUP(Completions!B$2:B$5000,$J$4:$K$18,2,FALSE()),0)))</f>
        <v/>
      </c>
      <c r="G219" s="16" t="str">
        <f aca="false">IF(A219="","",IF(F219&gt;=20,"Gold",IF(F219&gt;=14,"Silver",IF(F219&gt;=8,"Bronze","—"))))</f>
        <v/>
      </c>
      <c r="H219" s="16" t="str">
        <f aca="false">IF(A219="","",IFERROR(TEXT(maxifs(Completions!G:G,Completions!A:A,A219),"yyyy-mm-dd hh:mm"),"—"))</f>
        <v/>
      </c>
    </row>
    <row r="220" customFormat="false" ht="21.75" hidden="false" customHeight="true" outlineLevel="0" collapsed="false">
      <c r="A220" s="17" t="str">
        <f aca="false">IFERROR(IF(Members!A217="","",Members!A217),"")</f>
        <v/>
      </c>
      <c r="B220" s="17" t="str">
        <f aca="false">IFERROR(IF(Members!A217="","",Members!B217),"")</f>
        <v/>
      </c>
      <c r="C220" s="17" t="str">
        <f aca="false">IFERROR(IF(Members!A217="","",Members!C217),"")</f>
        <v/>
      </c>
      <c r="D220" s="17" t="str">
        <f aca="false">IFERROR(IF(Members!A217="","",Members!D217),"")</f>
        <v/>
      </c>
      <c r="E220" s="17" t="str">
        <f aca="false">IF(A220="","",COUNTIF(Completions!A:A,A220))</f>
        <v/>
      </c>
      <c r="F220" s="17" t="str">
        <f aca="false">IF(A220="","",SUMPRODUCT((Completions!A$2:A$5000=A220)*IFERROR(VLOOKUP(Completions!B$2:B$5000,$J$4:$K$18,2,FALSE()),0)))</f>
        <v/>
      </c>
      <c r="G220" s="17" t="str">
        <f aca="false">IF(A220="","",IF(F220&gt;=20,"Gold",IF(F220&gt;=14,"Silver",IF(F220&gt;=8,"Bronze","—"))))</f>
        <v/>
      </c>
      <c r="H220" s="17" t="str">
        <f aca="false">IF(A220="","",IFERROR(TEXT(maxifs(Completions!G:G,Completions!A:A,A220),"yyyy-mm-dd hh:mm"),"—"))</f>
        <v/>
      </c>
    </row>
    <row r="221" customFormat="false" ht="21.75" hidden="false" customHeight="true" outlineLevel="0" collapsed="false">
      <c r="A221" s="16" t="str">
        <f aca="false">IFERROR(IF(Members!A218="","",Members!A218),"")</f>
        <v/>
      </c>
      <c r="B221" s="16" t="str">
        <f aca="false">IFERROR(IF(Members!A218="","",Members!B218),"")</f>
        <v/>
      </c>
      <c r="C221" s="16" t="str">
        <f aca="false">IFERROR(IF(Members!A218="","",Members!C218),"")</f>
        <v/>
      </c>
      <c r="D221" s="16" t="str">
        <f aca="false">IFERROR(IF(Members!A218="","",Members!D218),"")</f>
        <v/>
      </c>
      <c r="E221" s="16" t="str">
        <f aca="false">IF(A221="","",COUNTIF(Completions!A:A,A221))</f>
        <v/>
      </c>
      <c r="F221" s="16" t="str">
        <f aca="false">IF(A221="","",SUMPRODUCT((Completions!A$2:A$5000=A221)*IFERROR(VLOOKUP(Completions!B$2:B$5000,$J$4:$K$18,2,FALSE()),0)))</f>
        <v/>
      </c>
      <c r="G221" s="16" t="str">
        <f aca="false">IF(A221="","",IF(F221&gt;=20,"Gold",IF(F221&gt;=14,"Silver",IF(F221&gt;=8,"Bronze","—"))))</f>
        <v/>
      </c>
      <c r="H221" s="16" t="str">
        <f aca="false">IF(A221="","",IFERROR(TEXT(maxifs(Completions!G:G,Completions!A:A,A221),"yyyy-mm-dd hh:mm"),"—"))</f>
        <v/>
      </c>
    </row>
    <row r="222" customFormat="false" ht="21.75" hidden="false" customHeight="true" outlineLevel="0" collapsed="false">
      <c r="A222" s="17" t="str">
        <f aca="false">IFERROR(IF(Members!A219="","",Members!A219),"")</f>
        <v/>
      </c>
      <c r="B222" s="17" t="str">
        <f aca="false">IFERROR(IF(Members!A219="","",Members!B219),"")</f>
        <v/>
      </c>
      <c r="C222" s="17" t="str">
        <f aca="false">IFERROR(IF(Members!A219="","",Members!C219),"")</f>
        <v/>
      </c>
      <c r="D222" s="17" t="str">
        <f aca="false">IFERROR(IF(Members!A219="","",Members!D219),"")</f>
        <v/>
      </c>
      <c r="E222" s="17" t="str">
        <f aca="false">IF(A222="","",COUNTIF(Completions!A:A,A222))</f>
        <v/>
      </c>
      <c r="F222" s="17" t="str">
        <f aca="false">IF(A222="","",SUMPRODUCT((Completions!A$2:A$5000=A222)*IFERROR(VLOOKUP(Completions!B$2:B$5000,$J$4:$K$18,2,FALSE()),0)))</f>
        <v/>
      </c>
      <c r="G222" s="17" t="str">
        <f aca="false">IF(A222="","",IF(F222&gt;=20,"Gold",IF(F222&gt;=14,"Silver",IF(F222&gt;=8,"Bronze","—"))))</f>
        <v/>
      </c>
      <c r="H222" s="17" t="str">
        <f aca="false">IF(A222="","",IFERROR(TEXT(maxifs(Completions!G:G,Completions!A:A,A222),"yyyy-mm-dd hh:mm"),"—"))</f>
        <v/>
      </c>
    </row>
    <row r="223" customFormat="false" ht="21.75" hidden="false" customHeight="true" outlineLevel="0" collapsed="false">
      <c r="A223" s="16" t="str">
        <f aca="false">IFERROR(IF(Members!A220="","",Members!A220),"")</f>
        <v/>
      </c>
      <c r="B223" s="16" t="str">
        <f aca="false">IFERROR(IF(Members!A220="","",Members!B220),"")</f>
        <v/>
      </c>
      <c r="C223" s="16" t="str">
        <f aca="false">IFERROR(IF(Members!A220="","",Members!C220),"")</f>
        <v/>
      </c>
      <c r="D223" s="16" t="str">
        <f aca="false">IFERROR(IF(Members!A220="","",Members!D220),"")</f>
        <v/>
      </c>
      <c r="E223" s="16" t="str">
        <f aca="false">IF(A223="","",COUNTIF(Completions!A:A,A223))</f>
        <v/>
      </c>
      <c r="F223" s="16" t="str">
        <f aca="false">IF(A223="","",SUMPRODUCT((Completions!A$2:A$5000=A223)*IFERROR(VLOOKUP(Completions!B$2:B$5000,$J$4:$K$18,2,FALSE()),0)))</f>
        <v/>
      </c>
      <c r="G223" s="16" t="str">
        <f aca="false">IF(A223="","",IF(F223&gt;=20,"Gold",IF(F223&gt;=14,"Silver",IF(F223&gt;=8,"Bronze","—"))))</f>
        <v/>
      </c>
      <c r="H223" s="16" t="str">
        <f aca="false">IF(A223="","",IFERROR(TEXT(maxifs(Completions!G:G,Completions!A:A,A223),"yyyy-mm-dd hh:mm"),"—"))</f>
        <v/>
      </c>
    </row>
    <row r="224" customFormat="false" ht="21.75" hidden="false" customHeight="true" outlineLevel="0" collapsed="false">
      <c r="A224" s="17" t="str">
        <f aca="false">IFERROR(IF(Members!A221="","",Members!A221),"")</f>
        <v/>
      </c>
      <c r="B224" s="17" t="str">
        <f aca="false">IFERROR(IF(Members!A221="","",Members!B221),"")</f>
        <v/>
      </c>
      <c r="C224" s="17" t="str">
        <f aca="false">IFERROR(IF(Members!A221="","",Members!C221),"")</f>
        <v/>
      </c>
      <c r="D224" s="17" t="str">
        <f aca="false">IFERROR(IF(Members!A221="","",Members!D221),"")</f>
        <v/>
      </c>
      <c r="E224" s="17" t="str">
        <f aca="false">IF(A224="","",COUNTIF(Completions!A:A,A224))</f>
        <v/>
      </c>
      <c r="F224" s="17" t="str">
        <f aca="false">IF(A224="","",SUMPRODUCT((Completions!A$2:A$5000=A224)*IFERROR(VLOOKUP(Completions!B$2:B$5000,$J$4:$K$18,2,FALSE()),0)))</f>
        <v/>
      </c>
      <c r="G224" s="17" t="str">
        <f aca="false">IF(A224="","",IF(F224&gt;=20,"Gold",IF(F224&gt;=14,"Silver",IF(F224&gt;=8,"Bronze","—"))))</f>
        <v/>
      </c>
      <c r="H224" s="17" t="str">
        <f aca="false">IF(A224="","",IFERROR(TEXT(maxifs(Completions!G:G,Completions!A:A,A224),"yyyy-mm-dd hh:mm"),"—"))</f>
        <v/>
      </c>
    </row>
    <row r="225" customFormat="false" ht="21.75" hidden="false" customHeight="true" outlineLevel="0" collapsed="false">
      <c r="A225" s="16" t="str">
        <f aca="false">IFERROR(IF(Members!A222="","",Members!A222),"")</f>
        <v/>
      </c>
      <c r="B225" s="16" t="str">
        <f aca="false">IFERROR(IF(Members!A222="","",Members!B222),"")</f>
        <v/>
      </c>
      <c r="C225" s="16" t="str">
        <f aca="false">IFERROR(IF(Members!A222="","",Members!C222),"")</f>
        <v/>
      </c>
      <c r="D225" s="16" t="str">
        <f aca="false">IFERROR(IF(Members!A222="","",Members!D222),"")</f>
        <v/>
      </c>
      <c r="E225" s="16" t="str">
        <f aca="false">IF(A225="","",COUNTIF(Completions!A:A,A225))</f>
        <v/>
      </c>
      <c r="F225" s="16" t="str">
        <f aca="false">IF(A225="","",SUMPRODUCT((Completions!A$2:A$5000=A225)*IFERROR(VLOOKUP(Completions!B$2:B$5000,$J$4:$K$18,2,FALSE()),0)))</f>
        <v/>
      </c>
      <c r="G225" s="16" t="str">
        <f aca="false">IF(A225="","",IF(F225&gt;=20,"Gold",IF(F225&gt;=14,"Silver",IF(F225&gt;=8,"Bronze","—"))))</f>
        <v/>
      </c>
      <c r="H225" s="16" t="str">
        <f aca="false">IF(A225="","",IFERROR(TEXT(maxifs(Completions!G:G,Completions!A:A,A225),"yyyy-mm-dd hh:mm"),"—"))</f>
        <v/>
      </c>
    </row>
    <row r="226" customFormat="false" ht="21.75" hidden="false" customHeight="true" outlineLevel="0" collapsed="false">
      <c r="A226" s="17" t="str">
        <f aca="false">IFERROR(IF(Members!A223="","",Members!A223),"")</f>
        <v/>
      </c>
      <c r="B226" s="17" t="str">
        <f aca="false">IFERROR(IF(Members!A223="","",Members!B223),"")</f>
        <v/>
      </c>
      <c r="C226" s="17" t="str">
        <f aca="false">IFERROR(IF(Members!A223="","",Members!C223),"")</f>
        <v/>
      </c>
      <c r="D226" s="17" t="str">
        <f aca="false">IFERROR(IF(Members!A223="","",Members!D223),"")</f>
        <v/>
      </c>
      <c r="E226" s="17" t="str">
        <f aca="false">IF(A226="","",COUNTIF(Completions!A:A,A226))</f>
        <v/>
      </c>
      <c r="F226" s="17" t="str">
        <f aca="false">IF(A226="","",SUMPRODUCT((Completions!A$2:A$5000=A226)*IFERROR(VLOOKUP(Completions!B$2:B$5000,$J$4:$K$18,2,FALSE()),0)))</f>
        <v/>
      </c>
      <c r="G226" s="17" t="str">
        <f aca="false">IF(A226="","",IF(F226&gt;=20,"Gold",IF(F226&gt;=14,"Silver",IF(F226&gt;=8,"Bronze","—"))))</f>
        <v/>
      </c>
      <c r="H226" s="17" t="str">
        <f aca="false">IF(A226="","",IFERROR(TEXT(maxifs(Completions!G:G,Completions!A:A,A226),"yyyy-mm-dd hh:mm"),"—"))</f>
        <v/>
      </c>
    </row>
    <row r="227" customFormat="false" ht="21.75" hidden="false" customHeight="true" outlineLevel="0" collapsed="false">
      <c r="A227" s="16" t="str">
        <f aca="false">IFERROR(IF(Members!A224="","",Members!A224),"")</f>
        <v/>
      </c>
      <c r="B227" s="16" t="str">
        <f aca="false">IFERROR(IF(Members!A224="","",Members!B224),"")</f>
        <v/>
      </c>
      <c r="C227" s="16" t="str">
        <f aca="false">IFERROR(IF(Members!A224="","",Members!C224),"")</f>
        <v/>
      </c>
      <c r="D227" s="16" t="str">
        <f aca="false">IFERROR(IF(Members!A224="","",Members!D224),"")</f>
        <v/>
      </c>
      <c r="E227" s="16" t="str">
        <f aca="false">IF(A227="","",COUNTIF(Completions!A:A,A227))</f>
        <v/>
      </c>
      <c r="F227" s="16" t="str">
        <f aca="false">IF(A227="","",SUMPRODUCT((Completions!A$2:A$5000=A227)*IFERROR(VLOOKUP(Completions!B$2:B$5000,$J$4:$K$18,2,FALSE()),0)))</f>
        <v/>
      </c>
      <c r="G227" s="16" t="str">
        <f aca="false">IF(A227="","",IF(F227&gt;=20,"Gold",IF(F227&gt;=14,"Silver",IF(F227&gt;=8,"Bronze","—"))))</f>
        <v/>
      </c>
      <c r="H227" s="16" t="str">
        <f aca="false">IF(A227="","",IFERROR(TEXT(maxifs(Completions!G:G,Completions!A:A,A227),"yyyy-mm-dd hh:mm"),"—"))</f>
        <v/>
      </c>
    </row>
    <row r="228" customFormat="false" ht="21.75" hidden="false" customHeight="true" outlineLevel="0" collapsed="false">
      <c r="A228" s="17" t="str">
        <f aca="false">IFERROR(IF(Members!A225="","",Members!A225),"")</f>
        <v/>
      </c>
      <c r="B228" s="17" t="str">
        <f aca="false">IFERROR(IF(Members!A225="","",Members!B225),"")</f>
        <v/>
      </c>
      <c r="C228" s="17" t="str">
        <f aca="false">IFERROR(IF(Members!A225="","",Members!C225),"")</f>
        <v/>
      </c>
      <c r="D228" s="17" t="str">
        <f aca="false">IFERROR(IF(Members!A225="","",Members!D225),"")</f>
        <v/>
      </c>
      <c r="E228" s="17" t="str">
        <f aca="false">IF(A228="","",COUNTIF(Completions!A:A,A228))</f>
        <v/>
      </c>
      <c r="F228" s="17" t="str">
        <f aca="false">IF(A228="","",SUMPRODUCT((Completions!A$2:A$5000=A228)*IFERROR(VLOOKUP(Completions!B$2:B$5000,$J$4:$K$18,2,FALSE()),0)))</f>
        <v/>
      </c>
      <c r="G228" s="17" t="str">
        <f aca="false">IF(A228="","",IF(F228&gt;=20,"Gold",IF(F228&gt;=14,"Silver",IF(F228&gt;=8,"Bronze","—"))))</f>
        <v/>
      </c>
      <c r="H228" s="17" t="str">
        <f aca="false">IF(A228="","",IFERROR(TEXT(maxifs(Completions!G:G,Completions!A:A,A228),"yyyy-mm-dd hh:mm"),"—"))</f>
        <v/>
      </c>
    </row>
    <row r="229" customFormat="false" ht="21.75" hidden="false" customHeight="true" outlineLevel="0" collapsed="false">
      <c r="A229" s="16" t="str">
        <f aca="false">IFERROR(IF(Members!A226="","",Members!A226),"")</f>
        <v/>
      </c>
      <c r="B229" s="16" t="str">
        <f aca="false">IFERROR(IF(Members!A226="","",Members!B226),"")</f>
        <v/>
      </c>
      <c r="C229" s="16" t="str">
        <f aca="false">IFERROR(IF(Members!A226="","",Members!C226),"")</f>
        <v/>
      </c>
      <c r="D229" s="16" t="str">
        <f aca="false">IFERROR(IF(Members!A226="","",Members!D226),"")</f>
        <v/>
      </c>
      <c r="E229" s="16" t="str">
        <f aca="false">IF(A229="","",COUNTIF(Completions!A:A,A229))</f>
        <v/>
      </c>
      <c r="F229" s="16" t="str">
        <f aca="false">IF(A229="","",SUMPRODUCT((Completions!A$2:A$5000=A229)*IFERROR(VLOOKUP(Completions!B$2:B$5000,$J$4:$K$18,2,FALSE()),0)))</f>
        <v/>
      </c>
      <c r="G229" s="16" t="str">
        <f aca="false">IF(A229="","",IF(F229&gt;=20,"Gold",IF(F229&gt;=14,"Silver",IF(F229&gt;=8,"Bronze","—"))))</f>
        <v/>
      </c>
      <c r="H229" s="16" t="str">
        <f aca="false">IF(A229="","",IFERROR(TEXT(maxifs(Completions!G:G,Completions!A:A,A229),"yyyy-mm-dd hh:mm"),"—"))</f>
        <v/>
      </c>
    </row>
    <row r="230" customFormat="false" ht="21.75" hidden="false" customHeight="true" outlineLevel="0" collapsed="false">
      <c r="A230" s="17" t="str">
        <f aca="false">IFERROR(IF(Members!A227="","",Members!A227),"")</f>
        <v/>
      </c>
      <c r="B230" s="17" t="str">
        <f aca="false">IFERROR(IF(Members!A227="","",Members!B227),"")</f>
        <v/>
      </c>
      <c r="C230" s="17" t="str">
        <f aca="false">IFERROR(IF(Members!A227="","",Members!C227),"")</f>
        <v/>
      </c>
      <c r="D230" s="17" t="str">
        <f aca="false">IFERROR(IF(Members!A227="","",Members!D227),"")</f>
        <v/>
      </c>
      <c r="E230" s="17" t="str">
        <f aca="false">IF(A230="","",COUNTIF(Completions!A:A,A230))</f>
        <v/>
      </c>
      <c r="F230" s="17" t="str">
        <f aca="false">IF(A230="","",SUMPRODUCT((Completions!A$2:A$5000=A230)*IFERROR(VLOOKUP(Completions!B$2:B$5000,$J$4:$K$18,2,FALSE()),0)))</f>
        <v/>
      </c>
      <c r="G230" s="17" t="str">
        <f aca="false">IF(A230="","",IF(F230&gt;=20,"Gold",IF(F230&gt;=14,"Silver",IF(F230&gt;=8,"Bronze","—"))))</f>
        <v/>
      </c>
      <c r="H230" s="17" t="str">
        <f aca="false">IF(A230="","",IFERROR(TEXT(maxifs(Completions!G:G,Completions!A:A,A230),"yyyy-mm-dd hh:mm"),"—"))</f>
        <v/>
      </c>
    </row>
    <row r="231" customFormat="false" ht="21.75" hidden="false" customHeight="true" outlineLevel="0" collapsed="false">
      <c r="A231" s="16" t="str">
        <f aca="false">IFERROR(IF(Members!A228="","",Members!A228),"")</f>
        <v/>
      </c>
      <c r="B231" s="16" t="str">
        <f aca="false">IFERROR(IF(Members!A228="","",Members!B228),"")</f>
        <v/>
      </c>
      <c r="C231" s="16" t="str">
        <f aca="false">IFERROR(IF(Members!A228="","",Members!C228),"")</f>
        <v/>
      </c>
      <c r="D231" s="16" t="str">
        <f aca="false">IFERROR(IF(Members!A228="","",Members!D228),"")</f>
        <v/>
      </c>
      <c r="E231" s="16" t="str">
        <f aca="false">IF(A231="","",COUNTIF(Completions!A:A,A231))</f>
        <v/>
      </c>
      <c r="F231" s="16" t="str">
        <f aca="false">IF(A231="","",SUMPRODUCT((Completions!A$2:A$5000=A231)*IFERROR(VLOOKUP(Completions!B$2:B$5000,$J$4:$K$18,2,FALSE()),0)))</f>
        <v/>
      </c>
      <c r="G231" s="16" t="str">
        <f aca="false">IF(A231="","",IF(F231&gt;=20,"Gold",IF(F231&gt;=14,"Silver",IF(F231&gt;=8,"Bronze","—"))))</f>
        <v/>
      </c>
      <c r="H231" s="16" t="str">
        <f aca="false">IF(A231="","",IFERROR(TEXT(maxifs(Completions!G:G,Completions!A:A,A231),"yyyy-mm-dd hh:mm"),"—"))</f>
        <v/>
      </c>
    </row>
    <row r="232" customFormat="false" ht="21.75" hidden="false" customHeight="true" outlineLevel="0" collapsed="false">
      <c r="A232" s="17" t="str">
        <f aca="false">IFERROR(IF(Members!A229="","",Members!A229),"")</f>
        <v/>
      </c>
      <c r="B232" s="17" t="str">
        <f aca="false">IFERROR(IF(Members!A229="","",Members!B229),"")</f>
        <v/>
      </c>
      <c r="C232" s="17" t="str">
        <f aca="false">IFERROR(IF(Members!A229="","",Members!C229),"")</f>
        <v/>
      </c>
      <c r="D232" s="17" t="str">
        <f aca="false">IFERROR(IF(Members!A229="","",Members!D229),"")</f>
        <v/>
      </c>
      <c r="E232" s="17" t="str">
        <f aca="false">IF(A232="","",COUNTIF(Completions!A:A,A232))</f>
        <v/>
      </c>
      <c r="F232" s="17" t="str">
        <f aca="false">IF(A232="","",SUMPRODUCT((Completions!A$2:A$5000=A232)*IFERROR(VLOOKUP(Completions!B$2:B$5000,$J$4:$K$18,2,FALSE()),0)))</f>
        <v/>
      </c>
      <c r="G232" s="17" t="str">
        <f aca="false">IF(A232="","",IF(F232&gt;=20,"Gold",IF(F232&gt;=14,"Silver",IF(F232&gt;=8,"Bronze","—"))))</f>
        <v/>
      </c>
      <c r="H232" s="17" t="str">
        <f aca="false">IF(A232="","",IFERROR(TEXT(maxifs(Completions!G:G,Completions!A:A,A232),"yyyy-mm-dd hh:mm"),"—"))</f>
        <v/>
      </c>
    </row>
    <row r="233" customFormat="false" ht="21.75" hidden="false" customHeight="true" outlineLevel="0" collapsed="false">
      <c r="A233" s="16" t="str">
        <f aca="false">IFERROR(IF(Members!A230="","",Members!A230),"")</f>
        <v/>
      </c>
      <c r="B233" s="16" t="str">
        <f aca="false">IFERROR(IF(Members!A230="","",Members!B230),"")</f>
        <v/>
      </c>
      <c r="C233" s="16" t="str">
        <f aca="false">IFERROR(IF(Members!A230="","",Members!C230),"")</f>
        <v/>
      </c>
      <c r="D233" s="16" t="str">
        <f aca="false">IFERROR(IF(Members!A230="","",Members!D230),"")</f>
        <v/>
      </c>
      <c r="E233" s="16" t="str">
        <f aca="false">IF(A233="","",COUNTIF(Completions!A:A,A233))</f>
        <v/>
      </c>
      <c r="F233" s="16" t="str">
        <f aca="false">IF(A233="","",SUMPRODUCT((Completions!A$2:A$5000=A233)*IFERROR(VLOOKUP(Completions!B$2:B$5000,$J$4:$K$18,2,FALSE()),0)))</f>
        <v/>
      </c>
      <c r="G233" s="16" t="str">
        <f aca="false">IF(A233="","",IF(F233&gt;=20,"Gold",IF(F233&gt;=14,"Silver",IF(F233&gt;=8,"Bronze","—"))))</f>
        <v/>
      </c>
      <c r="H233" s="16" t="str">
        <f aca="false">IF(A233="","",IFERROR(TEXT(maxifs(Completions!G:G,Completions!A:A,A233),"yyyy-mm-dd hh:mm"),"—"))</f>
        <v/>
      </c>
    </row>
    <row r="234" customFormat="false" ht="21.75" hidden="false" customHeight="true" outlineLevel="0" collapsed="false">
      <c r="A234" s="17" t="str">
        <f aca="false">IFERROR(IF(Members!A231="","",Members!A231),"")</f>
        <v/>
      </c>
      <c r="B234" s="17" t="str">
        <f aca="false">IFERROR(IF(Members!A231="","",Members!B231),"")</f>
        <v/>
      </c>
      <c r="C234" s="17" t="str">
        <f aca="false">IFERROR(IF(Members!A231="","",Members!C231),"")</f>
        <v/>
      </c>
      <c r="D234" s="17" t="str">
        <f aca="false">IFERROR(IF(Members!A231="","",Members!D231),"")</f>
        <v/>
      </c>
      <c r="E234" s="17" t="str">
        <f aca="false">IF(A234="","",COUNTIF(Completions!A:A,A234))</f>
        <v/>
      </c>
      <c r="F234" s="17" t="str">
        <f aca="false">IF(A234="","",SUMPRODUCT((Completions!A$2:A$5000=A234)*IFERROR(VLOOKUP(Completions!B$2:B$5000,$J$4:$K$18,2,FALSE()),0)))</f>
        <v/>
      </c>
      <c r="G234" s="17" t="str">
        <f aca="false">IF(A234="","",IF(F234&gt;=20,"Gold",IF(F234&gt;=14,"Silver",IF(F234&gt;=8,"Bronze","—"))))</f>
        <v/>
      </c>
      <c r="H234" s="17" t="str">
        <f aca="false">IF(A234="","",IFERROR(TEXT(maxifs(Completions!G:G,Completions!A:A,A234),"yyyy-mm-dd hh:mm"),"—"))</f>
        <v/>
      </c>
    </row>
    <row r="235" customFormat="false" ht="21.75" hidden="false" customHeight="true" outlineLevel="0" collapsed="false">
      <c r="A235" s="16" t="str">
        <f aca="false">IFERROR(IF(Members!A232="","",Members!A232),"")</f>
        <v/>
      </c>
      <c r="B235" s="16" t="str">
        <f aca="false">IFERROR(IF(Members!A232="","",Members!B232),"")</f>
        <v/>
      </c>
      <c r="C235" s="16" t="str">
        <f aca="false">IFERROR(IF(Members!A232="","",Members!C232),"")</f>
        <v/>
      </c>
      <c r="D235" s="16" t="str">
        <f aca="false">IFERROR(IF(Members!A232="","",Members!D232),"")</f>
        <v/>
      </c>
      <c r="E235" s="16" t="str">
        <f aca="false">IF(A235="","",COUNTIF(Completions!A:A,A235))</f>
        <v/>
      </c>
      <c r="F235" s="16" t="str">
        <f aca="false">IF(A235="","",SUMPRODUCT((Completions!A$2:A$5000=A235)*IFERROR(VLOOKUP(Completions!B$2:B$5000,$J$4:$K$18,2,FALSE()),0)))</f>
        <v/>
      </c>
      <c r="G235" s="16" t="str">
        <f aca="false">IF(A235="","",IF(F235&gt;=20,"Gold",IF(F235&gt;=14,"Silver",IF(F235&gt;=8,"Bronze","—"))))</f>
        <v/>
      </c>
      <c r="H235" s="16" t="str">
        <f aca="false">IF(A235="","",IFERROR(TEXT(maxifs(Completions!G:G,Completions!A:A,A235),"yyyy-mm-dd hh:mm"),"—"))</f>
        <v/>
      </c>
    </row>
    <row r="236" customFormat="false" ht="21.75" hidden="false" customHeight="true" outlineLevel="0" collapsed="false">
      <c r="A236" s="17" t="str">
        <f aca="false">IFERROR(IF(Members!A233="","",Members!A233),"")</f>
        <v/>
      </c>
      <c r="B236" s="17" t="str">
        <f aca="false">IFERROR(IF(Members!A233="","",Members!B233),"")</f>
        <v/>
      </c>
      <c r="C236" s="17" t="str">
        <f aca="false">IFERROR(IF(Members!A233="","",Members!C233),"")</f>
        <v/>
      </c>
      <c r="D236" s="17" t="str">
        <f aca="false">IFERROR(IF(Members!A233="","",Members!D233),"")</f>
        <v/>
      </c>
      <c r="E236" s="17" t="str">
        <f aca="false">IF(A236="","",COUNTIF(Completions!A:A,A236))</f>
        <v/>
      </c>
      <c r="F236" s="17" t="str">
        <f aca="false">IF(A236="","",SUMPRODUCT((Completions!A$2:A$5000=A236)*IFERROR(VLOOKUP(Completions!B$2:B$5000,$J$4:$K$18,2,FALSE()),0)))</f>
        <v/>
      </c>
      <c r="G236" s="17" t="str">
        <f aca="false">IF(A236="","",IF(F236&gt;=20,"Gold",IF(F236&gt;=14,"Silver",IF(F236&gt;=8,"Bronze","—"))))</f>
        <v/>
      </c>
      <c r="H236" s="17" t="str">
        <f aca="false">IF(A236="","",IFERROR(TEXT(maxifs(Completions!G:G,Completions!A:A,A236),"yyyy-mm-dd hh:mm"),"—"))</f>
        <v/>
      </c>
    </row>
    <row r="237" customFormat="false" ht="21.75" hidden="false" customHeight="true" outlineLevel="0" collapsed="false">
      <c r="A237" s="16" t="str">
        <f aca="false">IFERROR(IF(Members!A234="","",Members!A234),"")</f>
        <v/>
      </c>
      <c r="B237" s="16" t="str">
        <f aca="false">IFERROR(IF(Members!A234="","",Members!B234),"")</f>
        <v/>
      </c>
      <c r="C237" s="16" t="str">
        <f aca="false">IFERROR(IF(Members!A234="","",Members!C234),"")</f>
        <v/>
      </c>
      <c r="D237" s="16" t="str">
        <f aca="false">IFERROR(IF(Members!A234="","",Members!D234),"")</f>
        <v/>
      </c>
      <c r="E237" s="16" t="str">
        <f aca="false">IF(A237="","",COUNTIF(Completions!A:A,A237))</f>
        <v/>
      </c>
      <c r="F237" s="16" t="str">
        <f aca="false">IF(A237="","",SUMPRODUCT((Completions!A$2:A$5000=A237)*IFERROR(VLOOKUP(Completions!B$2:B$5000,$J$4:$K$18,2,FALSE()),0)))</f>
        <v/>
      </c>
      <c r="G237" s="16" t="str">
        <f aca="false">IF(A237="","",IF(F237&gt;=20,"Gold",IF(F237&gt;=14,"Silver",IF(F237&gt;=8,"Bronze","—"))))</f>
        <v/>
      </c>
      <c r="H237" s="16" t="str">
        <f aca="false">IF(A237="","",IFERROR(TEXT(maxifs(Completions!G:G,Completions!A:A,A237),"yyyy-mm-dd hh:mm"),"—"))</f>
        <v/>
      </c>
    </row>
    <row r="238" customFormat="false" ht="21.75" hidden="false" customHeight="true" outlineLevel="0" collapsed="false">
      <c r="A238" s="17" t="str">
        <f aca="false">IFERROR(IF(Members!A235="","",Members!A235),"")</f>
        <v/>
      </c>
      <c r="B238" s="17" t="str">
        <f aca="false">IFERROR(IF(Members!A235="","",Members!B235),"")</f>
        <v/>
      </c>
      <c r="C238" s="17" t="str">
        <f aca="false">IFERROR(IF(Members!A235="","",Members!C235),"")</f>
        <v/>
      </c>
      <c r="D238" s="17" t="str">
        <f aca="false">IFERROR(IF(Members!A235="","",Members!D235),"")</f>
        <v/>
      </c>
      <c r="E238" s="17" t="str">
        <f aca="false">IF(A238="","",COUNTIF(Completions!A:A,A238))</f>
        <v/>
      </c>
      <c r="F238" s="17" t="str">
        <f aca="false">IF(A238="","",SUMPRODUCT((Completions!A$2:A$5000=A238)*IFERROR(VLOOKUP(Completions!B$2:B$5000,$J$4:$K$18,2,FALSE()),0)))</f>
        <v/>
      </c>
      <c r="G238" s="17" t="str">
        <f aca="false">IF(A238="","",IF(F238&gt;=20,"Gold",IF(F238&gt;=14,"Silver",IF(F238&gt;=8,"Bronze","—"))))</f>
        <v/>
      </c>
      <c r="H238" s="17" t="str">
        <f aca="false">IF(A238="","",IFERROR(TEXT(maxifs(Completions!G:G,Completions!A:A,A238),"yyyy-mm-dd hh:mm"),"—"))</f>
        <v/>
      </c>
    </row>
    <row r="239" customFormat="false" ht="21.75" hidden="false" customHeight="true" outlineLevel="0" collapsed="false">
      <c r="A239" s="16" t="str">
        <f aca="false">IFERROR(IF(Members!A236="","",Members!A236),"")</f>
        <v/>
      </c>
      <c r="B239" s="16" t="str">
        <f aca="false">IFERROR(IF(Members!A236="","",Members!B236),"")</f>
        <v/>
      </c>
      <c r="C239" s="16" t="str">
        <f aca="false">IFERROR(IF(Members!A236="","",Members!C236),"")</f>
        <v/>
      </c>
      <c r="D239" s="16" t="str">
        <f aca="false">IFERROR(IF(Members!A236="","",Members!D236),"")</f>
        <v/>
      </c>
      <c r="E239" s="16" t="str">
        <f aca="false">IF(A239="","",COUNTIF(Completions!A:A,A239))</f>
        <v/>
      </c>
      <c r="F239" s="16" t="str">
        <f aca="false">IF(A239="","",SUMPRODUCT((Completions!A$2:A$5000=A239)*IFERROR(VLOOKUP(Completions!B$2:B$5000,$J$4:$K$18,2,FALSE()),0)))</f>
        <v/>
      </c>
      <c r="G239" s="16" t="str">
        <f aca="false">IF(A239="","",IF(F239&gt;=20,"Gold",IF(F239&gt;=14,"Silver",IF(F239&gt;=8,"Bronze","—"))))</f>
        <v/>
      </c>
      <c r="H239" s="16" t="str">
        <f aca="false">IF(A239="","",IFERROR(TEXT(maxifs(Completions!G:G,Completions!A:A,A239),"yyyy-mm-dd hh:mm"),"—"))</f>
        <v/>
      </c>
    </row>
    <row r="240" customFormat="false" ht="21.75" hidden="false" customHeight="true" outlineLevel="0" collapsed="false">
      <c r="A240" s="17" t="str">
        <f aca="false">IFERROR(IF(Members!A237="","",Members!A237),"")</f>
        <v/>
      </c>
      <c r="B240" s="17" t="str">
        <f aca="false">IFERROR(IF(Members!A237="","",Members!B237),"")</f>
        <v/>
      </c>
      <c r="C240" s="17" t="str">
        <f aca="false">IFERROR(IF(Members!A237="","",Members!C237),"")</f>
        <v/>
      </c>
      <c r="D240" s="17" t="str">
        <f aca="false">IFERROR(IF(Members!A237="","",Members!D237),"")</f>
        <v/>
      </c>
      <c r="E240" s="17" t="str">
        <f aca="false">IF(A240="","",COUNTIF(Completions!A:A,A240))</f>
        <v/>
      </c>
      <c r="F240" s="17" t="str">
        <f aca="false">IF(A240="","",SUMPRODUCT((Completions!A$2:A$5000=A240)*IFERROR(VLOOKUP(Completions!B$2:B$5000,$J$4:$K$18,2,FALSE()),0)))</f>
        <v/>
      </c>
      <c r="G240" s="17" t="str">
        <f aca="false">IF(A240="","",IF(F240&gt;=20,"Gold",IF(F240&gt;=14,"Silver",IF(F240&gt;=8,"Bronze","—"))))</f>
        <v/>
      </c>
      <c r="H240" s="17" t="str">
        <f aca="false">IF(A240="","",IFERROR(TEXT(maxifs(Completions!G:G,Completions!A:A,A240),"yyyy-mm-dd hh:mm"),"—"))</f>
        <v/>
      </c>
    </row>
    <row r="241" customFormat="false" ht="21.75" hidden="false" customHeight="true" outlineLevel="0" collapsed="false">
      <c r="A241" s="16" t="str">
        <f aca="false">IFERROR(IF(Members!A238="","",Members!A238),"")</f>
        <v/>
      </c>
      <c r="B241" s="16" t="str">
        <f aca="false">IFERROR(IF(Members!A238="","",Members!B238),"")</f>
        <v/>
      </c>
      <c r="C241" s="16" t="str">
        <f aca="false">IFERROR(IF(Members!A238="","",Members!C238),"")</f>
        <v/>
      </c>
      <c r="D241" s="16" t="str">
        <f aca="false">IFERROR(IF(Members!A238="","",Members!D238),"")</f>
        <v/>
      </c>
      <c r="E241" s="16" t="str">
        <f aca="false">IF(A241="","",COUNTIF(Completions!A:A,A241))</f>
        <v/>
      </c>
      <c r="F241" s="16" t="str">
        <f aca="false">IF(A241="","",SUMPRODUCT((Completions!A$2:A$5000=A241)*IFERROR(VLOOKUP(Completions!B$2:B$5000,$J$4:$K$18,2,FALSE()),0)))</f>
        <v/>
      </c>
      <c r="G241" s="16" t="str">
        <f aca="false">IF(A241="","",IF(F241&gt;=20,"Gold",IF(F241&gt;=14,"Silver",IF(F241&gt;=8,"Bronze","—"))))</f>
        <v/>
      </c>
      <c r="H241" s="16" t="str">
        <f aca="false">IF(A241="","",IFERROR(TEXT(maxifs(Completions!G:G,Completions!A:A,A241),"yyyy-mm-dd hh:mm"),"—"))</f>
        <v/>
      </c>
    </row>
    <row r="242" customFormat="false" ht="21.75" hidden="false" customHeight="true" outlineLevel="0" collapsed="false">
      <c r="A242" s="17" t="str">
        <f aca="false">IFERROR(IF(Members!A239="","",Members!A239),"")</f>
        <v/>
      </c>
      <c r="B242" s="17" t="str">
        <f aca="false">IFERROR(IF(Members!A239="","",Members!B239),"")</f>
        <v/>
      </c>
      <c r="C242" s="17" t="str">
        <f aca="false">IFERROR(IF(Members!A239="","",Members!C239),"")</f>
        <v/>
      </c>
      <c r="D242" s="17" t="str">
        <f aca="false">IFERROR(IF(Members!A239="","",Members!D239),"")</f>
        <v/>
      </c>
      <c r="E242" s="17" t="str">
        <f aca="false">IF(A242="","",COUNTIF(Completions!A:A,A242))</f>
        <v/>
      </c>
      <c r="F242" s="17" t="str">
        <f aca="false">IF(A242="","",SUMPRODUCT((Completions!A$2:A$5000=A242)*IFERROR(VLOOKUP(Completions!B$2:B$5000,$J$4:$K$18,2,FALSE()),0)))</f>
        <v/>
      </c>
      <c r="G242" s="17" t="str">
        <f aca="false">IF(A242="","",IF(F242&gt;=20,"Gold",IF(F242&gt;=14,"Silver",IF(F242&gt;=8,"Bronze","—"))))</f>
        <v/>
      </c>
      <c r="H242" s="17" t="str">
        <f aca="false">IF(A242="","",IFERROR(TEXT(maxifs(Completions!G:G,Completions!A:A,A242),"yyyy-mm-dd hh:mm"),"—"))</f>
        <v/>
      </c>
    </row>
    <row r="243" customFormat="false" ht="21.75" hidden="false" customHeight="true" outlineLevel="0" collapsed="false">
      <c r="A243" s="16" t="str">
        <f aca="false">IFERROR(IF(Members!A240="","",Members!A240),"")</f>
        <v/>
      </c>
      <c r="B243" s="16" t="str">
        <f aca="false">IFERROR(IF(Members!A240="","",Members!B240),"")</f>
        <v/>
      </c>
      <c r="C243" s="16" t="str">
        <f aca="false">IFERROR(IF(Members!A240="","",Members!C240),"")</f>
        <v/>
      </c>
      <c r="D243" s="16" t="str">
        <f aca="false">IFERROR(IF(Members!A240="","",Members!D240),"")</f>
        <v/>
      </c>
      <c r="E243" s="16" t="str">
        <f aca="false">IF(A243="","",COUNTIF(Completions!A:A,A243))</f>
        <v/>
      </c>
      <c r="F243" s="16" t="str">
        <f aca="false">IF(A243="","",SUMPRODUCT((Completions!A$2:A$5000=A243)*IFERROR(VLOOKUP(Completions!B$2:B$5000,$J$4:$K$18,2,FALSE()),0)))</f>
        <v/>
      </c>
      <c r="G243" s="16" t="str">
        <f aca="false">IF(A243="","",IF(F243&gt;=20,"Gold",IF(F243&gt;=14,"Silver",IF(F243&gt;=8,"Bronze","—"))))</f>
        <v/>
      </c>
      <c r="H243" s="16" t="str">
        <f aca="false">IF(A243="","",IFERROR(TEXT(maxifs(Completions!G:G,Completions!A:A,A243),"yyyy-mm-dd hh:mm"),"—"))</f>
        <v/>
      </c>
    </row>
    <row r="244" customFormat="false" ht="21.75" hidden="false" customHeight="true" outlineLevel="0" collapsed="false">
      <c r="A244" s="17" t="str">
        <f aca="false">IFERROR(IF(Members!A241="","",Members!A241),"")</f>
        <v/>
      </c>
      <c r="B244" s="17" t="str">
        <f aca="false">IFERROR(IF(Members!A241="","",Members!B241),"")</f>
        <v/>
      </c>
      <c r="C244" s="17" t="str">
        <f aca="false">IFERROR(IF(Members!A241="","",Members!C241),"")</f>
        <v/>
      </c>
      <c r="D244" s="17" t="str">
        <f aca="false">IFERROR(IF(Members!A241="","",Members!D241),"")</f>
        <v/>
      </c>
      <c r="E244" s="17" t="str">
        <f aca="false">IF(A244="","",COUNTIF(Completions!A:A,A244))</f>
        <v/>
      </c>
      <c r="F244" s="17" t="str">
        <f aca="false">IF(A244="","",SUMPRODUCT((Completions!A$2:A$5000=A244)*IFERROR(VLOOKUP(Completions!B$2:B$5000,$J$4:$K$18,2,FALSE()),0)))</f>
        <v/>
      </c>
      <c r="G244" s="17" t="str">
        <f aca="false">IF(A244="","",IF(F244&gt;=20,"Gold",IF(F244&gt;=14,"Silver",IF(F244&gt;=8,"Bronze","—"))))</f>
        <v/>
      </c>
      <c r="H244" s="17" t="str">
        <f aca="false">IF(A244="","",IFERROR(TEXT(maxifs(Completions!G:G,Completions!A:A,A244),"yyyy-mm-dd hh:mm"),"—"))</f>
        <v/>
      </c>
    </row>
    <row r="245" customFormat="false" ht="21.75" hidden="false" customHeight="true" outlineLevel="0" collapsed="false">
      <c r="A245" s="16" t="str">
        <f aca="false">IFERROR(IF(Members!A242="","",Members!A242),"")</f>
        <v/>
      </c>
      <c r="B245" s="16" t="str">
        <f aca="false">IFERROR(IF(Members!A242="","",Members!B242),"")</f>
        <v/>
      </c>
      <c r="C245" s="16" t="str">
        <f aca="false">IFERROR(IF(Members!A242="","",Members!C242),"")</f>
        <v/>
      </c>
      <c r="D245" s="16" t="str">
        <f aca="false">IFERROR(IF(Members!A242="","",Members!D242),"")</f>
        <v/>
      </c>
      <c r="E245" s="16" t="str">
        <f aca="false">IF(A245="","",COUNTIF(Completions!A:A,A245))</f>
        <v/>
      </c>
      <c r="F245" s="16" t="str">
        <f aca="false">IF(A245="","",SUMPRODUCT((Completions!A$2:A$5000=A245)*IFERROR(VLOOKUP(Completions!B$2:B$5000,$J$4:$K$18,2,FALSE()),0)))</f>
        <v/>
      </c>
      <c r="G245" s="16" t="str">
        <f aca="false">IF(A245="","",IF(F245&gt;=20,"Gold",IF(F245&gt;=14,"Silver",IF(F245&gt;=8,"Bronze","—"))))</f>
        <v/>
      </c>
      <c r="H245" s="16" t="str">
        <f aca="false">IF(A245="","",IFERROR(TEXT(maxifs(Completions!G:G,Completions!A:A,A245),"yyyy-mm-dd hh:mm"),"—"))</f>
        <v/>
      </c>
    </row>
    <row r="246" customFormat="false" ht="21.75" hidden="false" customHeight="true" outlineLevel="0" collapsed="false">
      <c r="A246" s="17" t="str">
        <f aca="false">IFERROR(IF(Members!A243="","",Members!A243),"")</f>
        <v/>
      </c>
      <c r="B246" s="17" t="str">
        <f aca="false">IFERROR(IF(Members!A243="","",Members!B243),"")</f>
        <v/>
      </c>
      <c r="C246" s="17" t="str">
        <f aca="false">IFERROR(IF(Members!A243="","",Members!C243),"")</f>
        <v/>
      </c>
      <c r="D246" s="17" t="str">
        <f aca="false">IFERROR(IF(Members!A243="","",Members!D243),"")</f>
        <v/>
      </c>
      <c r="E246" s="17" t="str">
        <f aca="false">IF(A246="","",COUNTIF(Completions!A:A,A246))</f>
        <v/>
      </c>
      <c r="F246" s="17" t="str">
        <f aca="false">IF(A246="","",SUMPRODUCT((Completions!A$2:A$5000=A246)*IFERROR(VLOOKUP(Completions!B$2:B$5000,$J$4:$K$18,2,FALSE()),0)))</f>
        <v/>
      </c>
      <c r="G246" s="17" t="str">
        <f aca="false">IF(A246="","",IF(F246&gt;=20,"Gold",IF(F246&gt;=14,"Silver",IF(F246&gt;=8,"Bronze","—"))))</f>
        <v/>
      </c>
      <c r="H246" s="17" t="str">
        <f aca="false">IF(A246="","",IFERROR(TEXT(maxifs(Completions!G:G,Completions!A:A,A246),"yyyy-mm-dd hh:mm"),"—"))</f>
        <v/>
      </c>
    </row>
    <row r="247" customFormat="false" ht="21.75" hidden="false" customHeight="true" outlineLevel="0" collapsed="false">
      <c r="A247" s="16" t="str">
        <f aca="false">IFERROR(IF(Members!A244="","",Members!A244),"")</f>
        <v/>
      </c>
      <c r="B247" s="16" t="str">
        <f aca="false">IFERROR(IF(Members!A244="","",Members!B244),"")</f>
        <v/>
      </c>
      <c r="C247" s="16" t="str">
        <f aca="false">IFERROR(IF(Members!A244="","",Members!C244),"")</f>
        <v/>
      </c>
      <c r="D247" s="16" t="str">
        <f aca="false">IFERROR(IF(Members!A244="","",Members!D244),"")</f>
        <v/>
      </c>
      <c r="E247" s="16" t="str">
        <f aca="false">IF(A247="","",COUNTIF(Completions!A:A,A247))</f>
        <v/>
      </c>
      <c r="F247" s="16" t="str">
        <f aca="false">IF(A247="","",SUMPRODUCT((Completions!A$2:A$5000=A247)*IFERROR(VLOOKUP(Completions!B$2:B$5000,$J$4:$K$18,2,FALSE()),0)))</f>
        <v/>
      </c>
      <c r="G247" s="16" t="str">
        <f aca="false">IF(A247="","",IF(F247&gt;=20,"Gold",IF(F247&gt;=14,"Silver",IF(F247&gt;=8,"Bronze","—"))))</f>
        <v/>
      </c>
      <c r="H247" s="16" t="str">
        <f aca="false">IF(A247="","",IFERROR(TEXT(maxifs(Completions!G:G,Completions!A:A,A247),"yyyy-mm-dd hh:mm"),"—"))</f>
        <v/>
      </c>
    </row>
    <row r="248" customFormat="false" ht="21.75" hidden="false" customHeight="true" outlineLevel="0" collapsed="false">
      <c r="A248" s="17" t="str">
        <f aca="false">IFERROR(IF(Members!A245="","",Members!A245),"")</f>
        <v/>
      </c>
      <c r="B248" s="17" t="str">
        <f aca="false">IFERROR(IF(Members!A245="","",Members!B245),"")</f>
        <v/>
      </c>
      <c r="C248" s="17" t="str">
        <f aca="false">IFERROR(IF(Members!A245="","",Members!C245),"")</f>
        <v/>
      </c>
      <c r="D248" s="17" t="str">
        <f aca="false">IFERROR(IF(Members!A245="","",Members!D245),"")</f>
        <v/>
      </c>
      <c r="E248" s="17" t="str">
        <f aca="false">IF(A248="","",COUNTIF(Completions!A:A,A248))</f>
        <v/>
      </c>
      <c r="F248" s="17" t="str">
        <f aca="false">IF(A248="","",SUMPRODUCT((Completions!A$2:A$5000=A248)*IFERROR(VLOOKUP(Completions!B$2:B$5000,$J$4:$K$18,2,FALSE()),0)))</f>
        <v/>
      </c>
      <c r="G248" s="17" t="str">
        <f aca="false">IF(A248="","",IF(F248&gt;=20,"Gold",IF(F248&gt;=14,"Silver",IF(F248&gt;=8,"Bronze","—"))))</f>
        <v/>
      </c>
      <c r="H248" s="17" t="str">
        <f aca="false">IF(A248="","",IFERROR(TEXT(maxifs(Completions!G:G,Completions!A:A,A248),"yyyy-mm-dd hh:mm"),"—"))</f>
        <v/>
      </c>
    </row>
    <row r="249" customFormat="false" ht="21.75" hidden="false" customHeight="true" outlineLevel="0" collapsed="false">
      <c r="A249" s="16" t="str">
        <f aca="false">IFERROR(IF(Members!A246="","",Members!A246),"")</f>
        <v/>
      </c>
      <c r="B249" s="16" t="str">
        <f aca="false">IFERROR(IF(Members!A246="","",Members!B246),"")</f>
        <v/>
      </c>
      <c r="C249" s="16" t="str">
        <f aca="false">IFERROR(IF(Members!A246="","",Members!C246),"")</f>
        <v/>
      </c>
      <c r="D249" s="16" t="str">
        <f aca="false">IFERROR(IF(Members!A246="","",Members!D246),"")</f>
        <v/>
      </c>
      <c r="E249" s="16" t="str">
        <f aca="false">IF(A249="","",COUNTIF(Completions!A:A,A249))</f>
        <v/>
      </c>
      <c r="F249" s="16" t="str">
        <f aca="false">IF(A249="","",SUMPRODUCT((Completions!A$2:A$5000=A249)*IFERROR(VLOOKUP(Completions!B$2:B$5000,$J$4:$K$18,2,FALSE()),0)))</f>
        <v/>
      </c>
      <c r="G249" s="16" t="str">
        <f aca="false">IF(A249="","",IF(F249&gt;=20,"Gold",IF(F249&gt;=14,"Silver",IF(F249&gt;=8,"Bronze","—"))))</f>
        <v/>
      </c>
      <c r="H249" s="16" t="str">
        <f aca="false">IF(A249="","",IFERROR(TEXT(maxifs(Completions!G:G,Completions!A:A,A249),"yyyy-mm-dd hh:mm"),"—"))</f>
        <v/>
      </c>
    </row>
    <row r="250" customFormat="false" ht="21.75" hidden="false" customHeight="true" outlineLevel="0" collapsed="false">
      <c r="A250" s="17" t="str">
        <f aca="false">IFERROR(IF(Members!A247="","",Members!A247),"")</f>
        <v/>
      </c>
      <c r="B250" s="17" t="str">
        <f aca="false">IFERROR(IF(Members!A247="","",Members!B247),"")</f>
        <v/>
      </c>
      <c r="C250" s="17" t="str">
        <f aca="false">IFERROR(IF(Members!A247="","",Members!C247),"")</f>
        <v/>
      </c>
      <c r="D250" s="17" t="str">
        <f aca="false">IFERROR(IF(Members!A247="","",Members!D247),"")</f>
        <v/>
      </c>
      <c r="E250" s="17" t="str">
        <f aca="false">IF(A250="","",COUNTIF(Completions!A:A,A250))</f>
        <v/>
      </c>
      <c r="F250" s="17" t="str">
        <f aca="false">IF(A250="","",SUMPRODUCT((Completions!A$2:A$5000=A250)*IFERROR(VLOOKUP(Completions!B$2:B$5000,$J$4:$K$18,2,FALSE()),0)))</f>
        <v/>
      </c>
      <c r="G250" s="17" t="str">
        <f aca="false">IF(A250="","",IF(F250&gt;=20,"Gold",IF(F250&gt;=14,"Silver",IF(F250&gt;=8,"Bronze","—"))))</f>
        <v/>
      </c>
      <c r="H250" s="17" t="str">
        <f aca="false">IF(A250="","",IFERROR(TEXT(maxifs(Completions!G:G,Completions!A:A,A250),"yyyy-mm-dd hh:mm"),"—"))</f>
        <v/>
      </c>
    </row>
    <row r="251" customFormat="false" ht="21.75" hidden="false" customHeight="true" outlineLevel="0" collapsed="false">
      <c r="A251" s="16" t="str">
        <f aca="false">IFERROR(IF(Members!A248="","",Members!A248),"")</f>
        <v/>
      </c>
      <c r="B251" s="16" t="str">
        <f aca="false">IFERROR(IF(Members!A248="","",Members!B248),"")</f>
        <v/>
      </c>
      <c r="C251" s="16" t="str">
        <f aca="false">IFERROR(IF(Members!A248="","",Members!C248),"")</f>
        <v/>
      </c>
      <c r="D251" s="16" t="str">
        <f aca="false">IFERROR(IF(Members!A248="","",Members!D248),"")</f>
        <v/>
      </c>
      <c r="E251" s="16" t="str">
        <f aca="false">IF(A251="","",COUNTIF(Completions!A:A,A251))</f>
        <v/>
      </c>
      <c r="F251" s="16" t="str">
        <f aca="false">IF(A251="","",SUMPRODUCT((Completions!A$2:A$5000=A251)*IFERROR(VLOOKUP(Completions!B$2:B$5000,$J$4:$K$18,2,FALSE()),0)))</f>
        <v/>
      </c>
      <c r="G251" s="16" t="str">
        <f aca="false">IF(A251="","",IF(F251&gt;=20,"Gold",IF(F251&gt;=14,"Silver",IF(F251&gt;=8,"Bronze","—"))))</f>
        <v/>
      </c>
      <c r="H251" s="16" t="str">
        <f aca="false">IF(A251="","",IFERROR(TEXT(maxifs(Completions!G:G,Completions!A:A,A251),"yyyy-mm-dd hh:mm"),"—"))</f>
        <v/>
      </c>
    </row>
    <row r="252" customFormat="false" ht="21.75" hidden="false" customHeight="true" outlineLevel="0" collapsed="false">
      <c r="A252" s="17" t="str">
        <f aca="false">IFERROR(IF(Members!A249="","",Members!A249),"")</f>
        <v/>
      </c>
      <c r="B252" s="17" t="str">
        <f aca="false">IFERROR(IF(Members!A249="","",Members!B249),"")</f>
        <v/>
      </c>
      <c r="C252" s="17" t="str">
        <f aca="false">IFERROR(IF(Members!A249="","",Members!C249),"")</f>
        <v/>
      </c>
      <c r="D252" s="17" t="str">
        <f aca="false">IFERROR(IF(Members!A249="","",Members!D249),"")</f>
        <v/>
      </c>
      <c r="E252" s="17" t="str">
        <f aca="false">IF(A252="","",COUNTIF(Completions!A:A,A252))</f>
        <v/>
      </c>
      <c r="F252" s="17" t="str">
        <f aca="false">IF(A252="","",SUMPRODUCT((Completions!A$2:A$5000=A252)*IFERROR(VLOOKUP(Completions!B$2:B$5000,$J$4:$K$18,2,FALSE()),0)))</f>
        <v/>
      </c>
      <c r="G252" s="17" t="str">
        <f aca="false">IF(A252="","",IF(F252&gt;=20,"Gold",IF(F252&gt;=14,"Silver",IF(F252&gt;=8,"Bronze","—"))))</f>
        <v/>
      </c>
      <c r="H252" s="17" t="str">
        <f aca="false">IF(A252="","",IFERROR(TEXT(maxifs(Completions!G:G,Completions!A:A,A252),"yyyy-mm-dd hh:mm"),"—"))</f>
        <v/>
      </c>
    </row>
    <row r="253" customFormat="false" ht="21.75" hidden="false" customHeight="true" outlineLevel="0" collapsed="false">
      <c r="A253" s="16" t="str">
        <f aca="false">IFERROR(IF(Members!A250="","",Members!A250),"")</f>
        <v/>
      </c>
      <c r="B253" s="16" t="str">
        <f aca="false">IFERROR(IF(Members!A250="","",Members!B250),"")</f>
        <v/>
      </c>
      <c r="C253" s="16" t="str">
        <f aca="false">IFERROR(IF(Members!A250="","",Members!C250),"")</f>
        <v/>
      </c>
      <c r="D253" s="16" t="str">
        <f aca="false">IFERROR(IF(Members!A250="","",Members!D250),"")</f>
        <v/>
      </c>
      <c r="E253" s="16" t="str">
        <f aca="false">IF(A253="","",COUNTIF(Completions!A:A,A253))</f>
        <v/>
      </c>
      <c r="F253" s="16" t="str">
        <f aca="false">IF(A253="","",SUMPRODUCT((Completions!A$2:A$5000=A253)*IFERROR(VLOOKUP(Completions!B$2:B$5000,$J$4:$K$18,2,FALSE()),0)))</f>
        <v/>
      </c>
      <c r="G253" s="16" t="str">
        <f aca="false">IF(A253="","",IF(F253&gt;=20,"Gold",IF(F253&gt;=14,"Silver",IF(F253&gt;=8,"Bronze","—"))))</f>
        <v/>
      </c>
      <c r="H253" s="16" t="str">
        <f aca="false">IF(A253="","",IFERROR(TEXT(maxifs(Completions!G:G,Completions!A:A,A253),"yyyy-mm-dd hh:mm"),"—"))</f>
        <v/>
      </c>
    </row>
    <row r="254" customFormat="false" ht="21.75" hidden="false" customHeight="true" outlineLevel="0" collapsed="false">
      <c r="A254" s="17" t="str">
        <f aca="false">IFERROR(IF(Members!A251="","",Members!A251),"")</f>
        <v/>
      </c>
      <c r="B254" s="17" t="str">
        <f aca="false">IFERROR(IF(Members!A251="","",Members!B251),"")</f>
        <v/>
      </c>
      <c r="C254" s="17" t="str">
        <f aca="false">IFERROR(IF(Members!A251="","",Members!C251),"")</f>
        <v/>
      </c>
      <c r="D254" s="17" t="str">
        <f aca="false">IFERROR(IF(Members!A251="","",Members!D251),"")</f>
        <v/>
      </c>
      <c r="E254" s="17" t="str">
        <f aca="false">IF(A254="","",COUNTIF(Completions!A:A,A254))</f>
        <v/>
      </c>
      <c r="F254" s="17" t="str">
        <f aca="false">IF(A254="","",SUMPRODUCT((Completions!A$2:A$5000=A254)*IFERROR(VLOOKUP(Completions!B$2:B$5000,$J$4:$K$18,2,FALSE()),0)))</f>
        <v/>
      </c>
      <c r="G254" s="17" t="str">
        <f aca="false">IF(A254="","",IF(F254&gt;=20,"Gold",IF(F254&gt;=14,"Silver",IF(F254&gt;=8,"Bronze","—"))))</f>
        <v/>
      </c>
      <c r="H254" s="17" t="str">
        <f aca="false">IF(A254="","",IFERROR(TEXT(maxifs(Completions!G:G,Completions!A:A,A254),"yyyy-mm-dd hh:mm"),"—"))</f>
        <v/>
      </c>
    </row>
    <row r="255" customFormat="false" ht="21.75" hidden="false" customHeight="true" outlineLevel="0" collapsed="false">
      <c r="A255" s="16" t="str">
        <f aca="false">IFERROR(IF(Members!A252="","",Members!A252),"")</f>
        <v/>
      </c>
      <c r="B255" s="16" t="str">
        <f aca="false">IFERROR(IF(Members!A252="","",Members!B252),"")</f>
        <v/>
      </c>
      <c r="C255" s="16" t="str">
        <f aca="false">IFERROR(IF(Members!A252="","",Members!C252),"")</f>
        <v/>
      </c>
      <c r="D255" s="16" t="str">
        <f aca="false">IFERROR(IF(Members!A252="","",Members!D252),"")</f>
        <v/>
      </c>
      <c r="E255" s="16" t="str">
        <f aca="false">IF(A255="","",COUNTIF(Completions!A:A,A255))</f>
        <v/>
      </c>
      <c r="F255" s="16" t="str">
        <f aca="false">IF(A255="","",SUMPRODUCT((Completions!A$2:A$5000=A255)*IFERROR(VLOOKUP(Completions!B$2:B$5000,$J$4:$K$18,2,FALSE()),0)))</f>
        <v/>
      </c>
      <c r="G255" s="16" t="str">
        <f aca="false">IF(A255="","",IF(F255&gt;=20,"Gold",IF(F255&gt;=14,"Silver",IF(F255&gt;=8,"Bronze","—"))))</f>
        <v/>
      </c>
      <c r="H255" s="16" t="str">
        <f aca="false">IF(A255="","",IFERROR(TEXT(maxifs(Completions!G:G,Completions!A:A,A255),"yyyy-mm-dd hh:mm"),"—"))</f>
        <v/>
      </c>
    </row>
    <row r="256" customFormat="false" ht="21.75" hidden="false" customHeight="true" outlineLevel="0" collapsed="false">
      <c r="A256" s="17" t="str">
        <f aca="false">IFERROR(IF(Members!A253="","",Members!A253),"")</f>
        <v/>
      </c>
      <c r="B256" s="17" t="str">
        <f aca="false">IFERROR(IF(Members!A253="","",Members!B253),"")</f>
        <v/>
      </c>
      <c r="C256" s="17" t="str">
        <f aca="false">IFERROR(IF(Members!A253="","",Members!C253),"")</f>
        <v/>
      </c>
      <c r="D256" s="17" t="str">
        <f aca="false">IFERROR(IF(Members!A253="","",Members!D253),"")</f>
        <v/>
      </c>
      <c r="E256" s="17" t="str">
        <f aca="false">IF(A256="","",COUNTIF(Completions!A:A,A256))</f>
        <v/>
      </c>
      <c r="F256" s="17" t="str">
        <f aca="false">IF(A256="","",SUMPRODUCT((Completions!A$2:A$5000=A256)*IFERROR(VLOOKUP(Completions!B$2:B$5000,$J$4:$K$18,2,FALSE()),0)))</f>
        <v/>
      </c>
      <c r="G256" s="17" t="str">
        <f aca="false">IF(A256="","",IF(F256&gt;=20,"Gold",IF(F256&gt;=14,"Silver",IF(F256&gt;=8,"Bronze","—"))))</f>
        <v/>
      </c>
      <c r="H256" s="17" t="str">
        <f aca="false">IF(A256="","",IFERROR(TEXT(maxifs(Completions!G:G,Completions!A:A,A256),"yyyy-mm-dd hh:mm"),"—"))</f>
        <v/>
      </c>
    </row>
    <row r="257" customFormat="false" ht="21.75" hidden="false" customHeight="true" outlineLevel="0" collapsed="false">
      <c r="A257" s="16" t="str">
        <f aca="false">IFERROR(IF(Members!A254="","",Members!A254),"")</f>
        <v/>
      </c>
      <c r="B257" s="16" t="str">
        <f aca="false">IFERROR(IF(Members!A254="","",Members!B254),"")</f>
        <v/>
      </c>
      <c r="C257" s="16" t="str">
        <f aca="false">IFERROR(IF(Members!A254="","",Members!C254),"")</f>
        <v/>
      </c>
      <c r="D257" s="16" t="str">
        <f aca="false">IFERROR(IF(Members!A254="","",Members!D254),"")</f>
        <v/>
      </c>
      <c r="E257" s="16" t="str">
        <f aca="false">IF(A257="","",COUNTIF(Completions!A:A,A257))</f>
        <v/>
      </c>
      <c r="F257" s="16" t="str">
        <f aca="false">IF(A257="","",SUMPRODUCT((Completions!A$2:A$5000=A257)*IFERROR(VLOOKUP(Completions!B$2:B$5000,$J$4:$K$18,2,FALSE()),0)))</f>
        <v/>
      </c>
      <c r="G257" s="16" t="str">
        <f aca="false">IF(A257="","",IF(F257&gt;=20,"Gold",IF(F257&gt;=14,"Silver",IF(F257&gt;=8,"Bronze","—"))))</f>
        <v/>
      </c>
      <c r="H257" s="16" t="str">
        <f aca="false">IF(A257="","",IFERROR(TEXT(maxifs(Completions!G:G,Completions!A:A,A257),"yyyy-mm-dd hh:mm"),"—"))</f>
        <v/>
      </c>
    </row>
    <row r="258" customFormat="false" ht="21.75" hidden="false" customHeight="true" outlineLevel="0" collapsed="false">
      <c r="A258" s="17" t="str">
        <f aca="false">IFERROR(IF(Members!A255="","",Members!A255),"")</f>
        <v/>
      </c>
      <c r="B258" s="17" t="str">
        <f aca="false">IFERROR(IF(Members!A255="","",Members!B255),"")</f>
        <v/>
      </c>
      <c r="C258" s="17" t="str">
        <f aca="false">IFERROR(IF(Members!A255="","",Members!C255),"")</f>
        <v/>
      </c>
      <c r="D258" s="17" t="str">
        <f aca="false">IFERROR(IF(Members!A255="","",Members!D255),"")</f>
        <v/>
      </c>
      <c r="E258" s="17" t="str">
        <f aca="false">IF(A258="","",COUNTIF(Completions!A:A,A258))</f>
        <v/>
      </c>
      <c r="F258" s="17" t="str">
        <f aca="false">IF(A258="","",SUMPRODUCT((Completions!A$2:A$5000=A258)*IFERROR(VLOOKUP(Completions!B$2:B$5000,$J$4:$K$18,2,FALSE()),0)))</f>
        <v/>
      </c>
      <c r="G258" s="17" t="str">
        <f aca="false">IF(A258="","",IF(F258&gt;=20,"Gold",IF(F258&gt;=14,"Silver",IF(F258&gt;=8,"Bronze","—"))))</f>
        <v/>
      </c>
      <c r="H258" s="17" t="str">
        <f aca="false">IF(A258="","",IFERROR(TEXT(maxifs(Completions!G:G,Completions!A:A,A258),"yyyy-mm-dd hh:mm"),"—"))</f>
        <v/>
      </c>
    </row>
    <row r="259" customFormat="false" ht="21.75" hidden="false" customHeight="true" outlineLevel="0" collapsed="false">
      <c r="A259" s="16" t="str">
        <f aca="false">IFERROR(IF(Members!A256="","",Members!A256),"")</f>
        <v/>
      </c>
      <c r="B259" s="16" t="str">
        <f aca="false">IFERROR(IF(Members!A256="","",Members!B256),"")</f>
        <v/>
      </c>
      <c r="C259" s="16" t="str">
        <f aca="false">IFERROR(IF(Members!A256="","",Members!C256),"")</f>
        <v/>
      </c>
      <c r="D259" s="16" t="str">
        <f aca="false">IFERROR(IF(Members!A256="","",Members!D256),"")</f>
        <v/>
      </c>
      <c r="E259" s="16" t="str">
        <f aca="false">IF(A259="","",COUNTIF(Completions!A:A,A259))</f>
        <v/>
      </c>
      <c r="F259" s="16" t="str">
        <f aca="false">IF(A259="","",SUMPRODUCT((Completions!A$2:A$5000=A259)*IFERROR(VLOOKUP(Completions!B$2:B$5000,$J$4:$K$18,2,FALSE()),0)))</f>
        <v/>
      </c>
      <c r="G259" s="16" t="str">
        <f aca="false">IF(A259="","",IF(F259&gt;=20,"Gold",IF(F259&gt;=14,"Silver",IF(F259&gt;=8,"Bronze","—"))))</f>
        <v/>
      </c>
      <c r="H259" s="16" t="str">
        <f aca="false">IF(A259="","",IFERROR(TEXT(maxifs(Completions!G:G,Completions!A:A,A259),"yyyy-mm-dd hh:mm"),"—"))</f>
        <v/>
      </c>
    </row>
    <row r="260" customFormat="false" ht="21.75" hidden="false" customHeight="true" outlineLevel="0" collapsed="false">
      <c r="A260" s="17" t="str">
        <f aca="false">IFERROR(IF(Members!A257="","",Members!A257),"")</f>
        <v/>
      </c>
      <c r="B260" s="17" t="str">
        <f aca="false">IFERROR(IF(Members!A257="","",Members!B257),"")</f>
        <v/>
      </c>
      <c r="C260" s="17" t="str">
        <f aca="false">IFERROR(IF(Members!A257="","",Members!C257),"")</f>
        <v/>
      </c>
      <c r="D260" s="17" t="str">
        <f aca="false">IFERROR(IF(Members!A257="","",Members!D257),"")</f>
        <v/>
      </c>
      <c r="E260" s="17" t="str">
        <f aca="false">IF(A260="","",COUNTIF(Completions!A:A,A260))</f>
        <v/>
      </c>
      <c r="F260" s="17" t="str">
        <f aca="false">IF(A260="","",SUMPRODUCT((Completions!A$2:A$5000=A260)*IFERROR(VLOOKUP(Completions!B$2:B$5000,$J$4:$K$18,2,FALSE()),0)))</f>
        <v/>
      </c>
      <c r="G260" s="17" t="str">
        <f aca="false">IF(A260="","",IF(F260&gt;=20,"Gold",IF(F260&gt;=14,"Silver",IF(F260&gt;=8,"Bronze","—"))))</f>
        <v/>
      </c>
      <c r="H260" s="17" t="str">
        <f aca="false">IF(A260="","",IFERROR(TEXT(maxifs(Completions!G:G,Completions!A:A,A260),"yyyy-mm-dd hh:mm"),"—"))</f>
        <v/>
      </c>
    </row>
    <row r="261" customFormat="false" ht="21.75" hidden="false" customHeight="true" outlineLevel="0" collapsed="false">
      <c r="A261" s="16" t="str">
        <f aca="false">IFERROR(IF(Members!A258="","",Members!A258),"")</f>
        <v/>
      </c>
      <c r="B261" s="16" t="str">
        <f aca="false">IFERROR(IF(Members!A258="","",Members!B258),"")</f>
        <v/>
      </c>
      <c r="C261" s="16" t="str">
        <f aca="false">IFERROR(IF(Members!A258="","",Members!C258),"")</f>
        <v/>
      </c>
      <c r="D261" s="16" t="str">
        <f aca="false">IFERROR(IF(Members!A258="","",Members!D258),"")</f>
        <v/>
      </c>
      <c r="E261" s="16" t="str">
        <f aca="false">IF(A261="","",COUNTIF(Completions!A:A,A261))</f>
        <v/>
      </c>
      <c r="F261" s="16" t="str">
        <f aca="false">IF(A261="","",SUMPRODUCT((Completions!A$2:A$5000=A261)*IFERROR(VLOOKUP(Completions!B$2:B$5000,$J$4:$K$18,2,FALSE()),0)))</f>
        <v/>
      </c>
      <c r="G261" s="16" t="str">
        <f aca="false">IF(A261="","",IF(F261&gt;=20,"Gold",IF(F261&gt;=14,"Silver",IF(F261&gt;=8,"Bronze","—"))))</f>
        <v/>
      </c>
      <c r="H261" s="16" t="str">
        <f aca="false">IF(A261="","",IFERROR(TEXT(maxifs(Completions!G:G,Completions!A:A,A261),"yyyy-mm-dd hh:mm"),"—"))</f>
        <v/>
      </c>
    </row>
    <row r="262" customFormat="false" ht="21.75" hidden="false" customHeight="true" outlineLevel="0" collapsed="false">
      <c r="A262" s="17" t="str">
        <f aca="false">IFERROR(IF(Members!A259="","",Members!A259),"")</f>
        <v/>
      </c>
      <c r="B262" s="17" t="str">
        <f aca="false">IFERROR(IF(Members!A259="","",Members!B259),"")</f>
        <v/>
      </c>
      <c r="C262" s="17" t="str">
        <f aca="false">IFERROR(IF(Members!A259="","",Members!C259),"")</f>
        <v/>
      </c>
      <c r="D262" s="17" t="str">
        <f aca="false">IFERROR(IF(Members!A259="","",Members!D259),"")</f>
        <v/>
      </c>
      <c r="E262" s="17" t="str">
        <f aca="false">IF(A262="","",COUNTIF(Completions!A:A,A262))</f>
        <v/>
      </c>
      <c r="F262" s="17" t="str">
        <f aca="false">IF(A262="","",SUMPRODUCT((Completions!A$2:A$5000=A262)*IFERROR(VLOOKUP(Completions!B$2:B$5000,$J$4:$K$18,2,FALSE()),0)))</f>
        <v/>
      </c>
      <c r="G262" s="17" t="str">
        <f aca="false">IF(A262="","",IF(F262&gt;=20,"Gold",IF(F262&gt;=14,"Silver",IF(F262&gt;=8,"Bronze","—"))))</f>
        <v/>
      </c>
      <c r="H262" s="17" t="str">
        <f aca="false">IF(A262="","",IFERROR(TEXT(maxifs(Completions!G:G,Completions!A:A,A262),"yyyy-mm-dd hh:mm"),"—"))</f>
        <v/>
      </c>
    </row>
    <row r="263" customFormat="false" ht="21.75" hidden="false" customHeight="true" outlineLevel="0" collapsed="false">
      <c r="A263" s="16" t="str">
        <f aca="false">IFERROR(IF(Members!A260="","",Members!A260),"")</f>
        <v/>
      </c>
      <c r="B263" s="16" t="str">
        <f aca="false">IFERROR(IF(Members!A260="","",Members!B260),"")</f>
        <v/>
      </c>
      <c r="C263" s="16" t="str">
        <f aca="false">IFERROR(IF(Members!A260="","",Members!C260),"")</f>
        <v/>
      </c>
      <c r="D263" s="16" t="str">
        <f aca="false">IFERROR(IF(Members!A260="","",Members!D260),"")</f>
        <v/>
      </c>
      <c r="E263" s="16" t="str">
        <f aca="false">IF(A263="","",COUNTIF(Completions!A:A,A263))</f>
        <v/>
      </c>
      <c r="F263" s="16" t="str">
        <f aca="false">IF(A263="","",SUMPRODUCT((Completions!A$2:A$5000=A263)*IFERROR(VLOOKUP(Completions!B$2:B$5000,$J$4:$K$18,2,FALSE()),0)))</f>
        <v/>
      </c>
      <c r="G263" s="16" t="str">
        <f aca="false">IF(A263="","",IF(F263&gt;=20,"Gold",IF(F263&gt;=14,"Silver",IF(F263&gt;=8,"Bronze","—"))))</f>
        <v/>
      </c>
      <c r="H263" s="16" t="str">
        <f aca="false">IF(A263="","",IFERROR(TEXT(maxifs(Completions!G:G,Completions!A:A,A263),"yyyy-mm-dd hh:mm"),"—"))</f>
        <v/>
      </c>
    </row>
    <row r="264" customFormat="false" ht="21.75" hidden="false" customHeight="true" outlineLevel="0" collapsed="false">
      <c r="A264" s="17" t="str">
        <f aca="false">IFERROR(IF(Members!A261="","",Members!A261),"")</f>
        <v/>
      </c>
      <c r="B264" s="17" t="str">
        <f aca="false">IFERROR(IF(Members!A261="","",Members!B261),"")</f>
        <v/>
      </c>
      <c r="C264" s="17" t="str">
        <f aca="false">IFERROR(IF(Members!A261="","",Members!C261),"")</f>
        <v/>
      </c>
      <c r="D264" s="17" t="str">
        <f aca="false">IFERROR(IF(Members!A261="","",Members!D261),"")</f>
        <v/>
      </c>
      <c r="E264" s="17" t="str">
        <f aca="false">IF(A264="","",COUNTIF(Completions!A:A,A264))</f>
        <v/>
      </c>
      <c r="F264" s="17" t="str">
        <f aca="false">IF(A264="","",SUMPRODUCT((Completions!A$2:A$5000=A264)*IFERROR(VLOOKUP(Completions!B$2:B$5000,$J$4:$K$18,2,FALSE()),0)))</f>
        <v/>
      </c>
      <c r="G264" s="17" t="str">
        <f aca="false">IF(A264="","",IF(F264&gt;=20,"Gold",IF(F264&gt;=14,"Silver",IF(F264&gt;=8,"Bronze","—"))))</f>
        <v/>
      </c>
      <c r="H264" s="17" t="str">
        <f aca="false">IF(A264="","",IFERROR(TEXT(maxifs(Completions!G:G,Completions!A:A,A264),"yyyy-mm-dd hh:mm"),"—"))</f>
        <v/>
      </c>
    </row>
    <row r="265" customFormat="false" ht="21.75" hidden="false" customHeight="true" outlineLevel="0" collapsed="false">
      <c r="A265" s="16" t="str">
        <f aca="false">IFERROR(IF(Members!A262="","",Members!A262),"")</f>
        <v/>
      </c>
      <c r="B265" s="16" t="str">
        <f aca="false">IFERROR(IF(Members!A262="","",Members!B262),"")</f>
        <v/>
      </c>
      <c r="C265" s="16" t="str">
        <f aca="false">IFERROR(IF(Members!A262="","",Members!C262),"")</f>
        <v/>
      </c>
      <c r="D265" s="16" t="str">
        <f aca="false">IFERROR(IF(Members!A262="","",Members!D262),"")</f>
        <v/>
      </c>
      <c r="E265" s="16" t="str">
        <f aca="false">IF(A265="","",COUNTIF(Completions!A:A,A265))</f>
        <v/>
      </c>
      <c r="F265" s="16" t="str">
        <f aca="false">IF(A265="","",SUMPRODUCT((Completions!A$2:A$5000=A265)*IFERROR(VLOOKUP(Completions!B$2:B$5000,$J$4:$K$18,2,FALSE()),0)))</f>
        <v/>
      </c>
      <c r="G265" s="16" t="str">
        <f aca="false">IF(A265="","",IF(F265&gt;=20,"Gold",IF(F265&gt;=14,"Silver",IF(F265&gt;=8,"Bronze","—"))))</f>
        <v/>
      </c>
      <c r="H265" s="16" t="str">
        <f aca="false">IF(A265="","",IFERROR(TEXT(maxifs(Completions!G:G,Completions!A:A,A265),"yyyy-mm-dd hh:mm"),"—"))</f>
        <v/>
      </c>
    </row>
    <row r="266" customFormat="false" ht="21.75" hidden="false" customHeight="true" outlineLevel="0" collapsed="false">
      <c r="A266" s="17" t="str">
        <f aca="false">IFERROR(IF(Members!A263="","",Members!A263),"")</f>
        <v/>
      </c>
      <c r="B266" s="17" t="str">
        <f aca="false">IFERROR(IF(Members!A263="","",Members!B263),"")</f>
        <v/>
      </c>
      <c r="C266" s="17" t="str">
        <f aca="false">IFERROR(IF(Members!A263="","",Members!C263),"")</f>
        <v/>
      </c>
      <c r="D266" s="17" t="str">
        <f aca="false">IFERROR(IF(Members!A263="","",Members!D263),"")</f>
        <v/>
      </c>
      <c r="E266" s="17" t="str">
        <f aca="false">IF(A266="","",COUNTIF(Completions!A:A,A266))</f>
        <v/>
      </c>
      <c r="F266" s="17" t="str">
        <f aca="false">IF(A266="","",SUMPRODUCT((Completions!A$2:A$5000=A266)*IFERROR(VLOOKUP(Completions!B$2:B$5000,$J$4:$K$18,2,FALSE()),0)))</f>
        <v/>
      </c>
      <c r="G266" s="17" t="str">
        <f aca="false">IF(A266="","",IF(F266&gt;=20,"Gold",IF(F266&gt;=14,"Silver",IF(F266&gt;=8,"Bronze","—"))))</f>
        <v/>
      </c>
      <c r="H266" s="17" t="str">
        <f aca="false">IF(A266="","",IFERROR(TEXT(maxifs(Completions!G:G,Completions!A:A,A266),"yyyy-mm-dd hh:mm"),"—"))</f>
        <v/>
      </c>
    </row>
    <row r="267" customFormat="false" ht="21.75" hidden="false" customHeight="true" outlineLevel="0" collapsed="false">
      <c r="A267" s="16" t="str">
        <f aca="false">IFERROR(IF(Members!A264="","",Members!A264),"")</f>
        <v/>
      </c>
      <c r="B267" s="16" t="str">
        <f aca="false">IFERROR(IF(Members!A264="","",Members!B264),"")</f>
        <v/>
      </c>
      <c r="C267" s="16" t="str">
        <f aca="false">IFERROR(IF(Members!A264="","",Members!C264),"")</f>
        <v/>
      </c>
      <c r="D267" s="16" t="str">
        <f aca="false">IFERROR(IF(Members!A264="","",Members!D264),"")</f>
        <v/>
      </c>
      <c r="E267" s="16" t="str">
        <f aca="false">IF(A267="","",COUNTIF(Completions!A:A,A267))</f>
        <v/>
      </c>
      <c r="F267" s="16" t="str">
        <f aca="false">IF(A267="","",SUMPRODUCT((Completions!A$2:A$5000=A267)*IFERROR(VLOOKUP(Completions!B$2:B$5000,$J$4:$K$18,2,FALSE()),0)))</f>
        <v/>
      </c>
      <c r="G267" s="16" t="str">
        <f aca="false">IF(A267="","",IF(F267&gt;=20,"Gold",IF(F267&gt;=14,"Silver",IF(F267&gt;=8,"Bronze","—"))))</f>
        <v/>
      </c>
      <c r="H267" s="16" t="str">
        <f aca="false">IF(A267="","",IFERROR(TEXT(maxifs(Completions!G:G,Completions!A:A,A267),"yyyy-mm-dd hh:mm"),"—"))</f>
        <v/>
      </c>
    </row>
    <row r="268" customFormat="false" ht="21.75" hidden="false" customHeight="true" outlineLevel="0" collapsed="false">
      <c r="A268" s="17" t="str">
        <f aca="false">IFERROR(IF(Members!A265="","",Members!A265),"")</f>
        <v/>
      </c>
      <c r="B268" s="17" t="str">
        <f aca="false">IFERROR(IF(Members!A265="","",Members!B265),"")</f>
        <v/>
      </c>
      <c r="C268" s="17" t="str">
        <f aca="false">IFERROR(IF(Members!A265="","",Members!C265),"")</f>
        <v/>
      </c>
      <c r="D268" s="17" t="str">
        <f aca="false">IFERROR(IF(Members!A265="","",Members!D265),"")</f>
        <v/>
      </c>
      <c r="E268" s="17" t="str">
        <f aca="false">IF(A268="","",COUNTIF(Completions!A:A,A268))</f>
        <v/>
      </c>
      <c r="F268" s="17" t="str">
        <f aca="false">IF(A268="","",SUMPRODUCT((Completions!A$2:A$5000=A268)*IFERROR(VLOOKUP(Completions!B$2:B$5000,$J$4:$K$18,2,FALSE()),0)))</f>
        <v/>
      </c>
      <c r="G268" s="17" t="str">
        <f aca="false">IF(A268="","",IF(F268&gt;=20,"Gold",IF(F268&gt;=14,"Silver",IF(F268&gt;=8,"Bronze","—"))))</f>
        <v/>
      </c>
      <c r="H268" s="17" t="str">
        <f aca="false">IF(A268="","",IFERROR(TEXT(maxifs(Completions!G:G,Completions!A:A,A268),"yyyy-mm-dd hh:mm"),"—"))</f>
        <v/>
      </c>
    </row>
    <row r="269" customFormat="false" ht="21.75" hidden="false" customHeight="true" outlineLevel="0" collapsed="false">
      <c r="A269" s="16" t="str">
        <f aca="false">IFERROR(IF(Members!A266="","",Members!A266),"")</f>
        <v/>
      </c>
      <c r="B269" s="16" t="str">
        <f aca="false">IFERROR(IF(Members!A266="","",Members!B266),"")</f>
        <v/>
      </c>
      <c r="C269" s="16" t="str">
        <f aca="false">IFERROR(IF(Members!A266="","",Members!C266),"")</f>
        <v/>
      </c>
      <c r="D269" s="16" t="str">
        <f aca="false">IFERROR(IF(Members!A266="","",Members!D266),"")</f>
        <v/>
      </c>
      <c r="E269" s="16" t="str">
        <f aca="false">IF(A269="","",COUNTIF(Completions!A:A,A269))</f>
        <v/>
      </c>
      <c r="F269" s="16" t="str">
        <f aca="false">IF(A269="","",SUMPRODUCT((Completions!A$2:A$5000=A269)*IFERROR(VLOOKUP(Completions!B$2:B$5000,$J$4:$K$18,2,FALSE()),0)))</f>
        <v/>
      </c>
      <c r="G269" s="16" t="str">
        <f aca="false">IF(A269="","",IF(F269&gt;=20,"Gold",IF(F269&gt;=14,"Silver",IF(F269&gt;=8,"Bronze","—"))))</f>
        <v/>
      </c>
      <c r="H269" s="16" t="str">
        <f aca="false">IF(A269="","",IFERROR(TEXT(maxifs(Completions!G:G,Completions!A:A,A269),"yyyy-mm-dd hh:mm"),"—"))</f>
        <v/>
      </c>
    </row>
    <row r="270" customFormat="false" ht="21.75" hidden="false" customHeight="true" outlineLevel="0" collapsed="false">
      <c r="A270" s="17" t="str">
        <f aca="false">IFERROR(IF(Members!A267="","",Members!A267),"")</f>
        <v/>
      </c>
      <c r="B270" s="17" t="str">
        <f aca="false">IFERROR(IF(Members!A267="","",Members!B267),"")</f>
        <v/>
      </c>
      <c r="C270" s="17" t="str">
        <f aca="false">IFERROR(IF(Members!A267="","",Members!C267),"")</f>
        <v/>
      </c>
      <c r="D270" s="17" t="str">
        <f aca="false">IFERROR(IF(Members!A267="","",Members!D267),"")</f>
        <v/>
      </c>
      <c r="E270" s="17" t="str">
        <f aca="false">IF(A270="","",COUNTIF(Completions!A:A,A270))</f>
        <v/>
      </c>
      <c r="F270" s="17" t="str">
        <f aca="false">IF(A270="","",SUMPRODUCT((Completions!A$2:A$5000=A270)*IFERROR(VLOOKUP(Completions!B$2:B$5000,$J$4:$K$18,2,FALSE()),0)))</f>
        <v/>
      </c>
      <c r="G270" s="17" t="str">
        <f aca="false">IF(A270="","",IF(F270&gt;=20,"Gold",IF(F270&gt;=14,"Silver",IF(F270&gt;=8,"Bronze","—"))))</f>
        <v/>
      </c>
      <c r="H270" s="17" t="str">
        <f aca="false">IF(A270="","",IFERROR(TEXT(maxifs(Completions!G:G,Completions!A:A,A270),"yyyy-mm-dd hh:mm"),"—"))</f>
        <v/>
      </c>
    </row>
    <row r="271" customFormat="false" ht="21.75" hidden="false" customHeight="true" outlineLevel="0" collapsed="false">
      <c r="A271" s="16" t="str">
        <f aca="false">IFERROR(IF(Members!A268="","",Members!A268),"")</f>
        <v/>
      </c>
      <c r="B271" s="16" t="str">
        <f aca="false">IFERROR(IF(Members!A268="","",Members!B268),"")</f>
        <v/>
      </c>
      <c r="C271" s="16" t="str">
        <f aca="false">IFERROR(IF(Members!A268="","",Members!C268),"")</f>
        <v/>
      </c>
      <c r="D271" s="16" t="str">
        <f aca="false">IFERROR(IF(Members!A268="","",Members!D268),"")</f>
        <v/>
      </c>
      <c r="E271" s="16" t="str">
        <f aca="false">IF(A271="","",COUNTIF(Completions!A:A,A271))</f>
        <v/>
      </c>
      <c r="F271" s="16" t="str">
        <f aca="false">IF(A271="","",SUMPRODUCT((Completions!A$2:A$5000=A271)*IFERROR(VLOOKUP(Completions!B$2:B$5000,$J$4:$K$18,2,FALSE()),0)))</f>
        <v/>
      </c>
      <c r="G271" s="16" t="str">
        <f aca="false">IF(A271="","",IF(F271&gt;=20,"Gold",IF(F271&gt;=14,"Silver",IF(F271&gt;=8,"Bronze","—"))))</f>
        <v/>
      </c>
      <c r="H271" s="16" t="str">
        <f aca="false">IF(A271="","",IFERROR(TEXT(maxifs(Completions!G:G,Completions!A:A,A271),"yyyy-mm-dd hh:mm"),"—"))</f>
        <v/>
      </c>
    </row>
    <row r="272" customFormat="false" ht="21.75" hidden="false" customHeight="true" outlineLevel="0" collapsed="false">
      <c r="A272" s="17" t="str">
        <f aca="false">IFERROR(IF(Members!A269="","",Members!A269),"")</f>
        <v/>
      </c>
      <c r="B272" s="17" t="str">
        <f aca="false">IFERROR(IF(Members!A269="","",Members!B269),"")</f>
        <v/>
      </c>
      <c r="C272" s="17" t="str">
        <f aca="false">IFERROR(IF(Members!A269="","",Members!C269),"")</f>
        <v/>
      </c>
      <c r="D272" s="17" t="str">
        <f aca="false">IFERROR(IF(Members!A269="","",Members!D269),"")</f>
        <v/>
      </c>
      <c r="E272" s="17" t="str">
        <f aca="false">IF(A272="","",COUNTIF(Completions!A:A,A272))</f>
        <v/>
      </c>
      <c r="F272" s="17" t="str">
        <f aca="false">IF(A272="","",SUMPRODUCT((Completions!A$2:A$5000=A272)*IFERROR(VLOOKUP(Completions!B$2:B$5000,$J$4:$K$18,2,FALSE()),0)))</f>
        <v/>
      </c>
      <c r="G272" s="17" t="str">
        <f aca="false">IF(A272="","",IF(F272&gt;=20,"Gold",IF(F272&gt;=14,"Silver",IF(F272&gt;=8,"Bronze","—"))))</f>
        <v/>
      </c>
      <c r="H272" s="17" t="str">
        <f aca="false">IF(A272="","",IFERROR(TEXT(maxifs(Completions!G:G,Completions!A:A,A272),"yyyy-mm-dd hh:mm"),"—"))</f>
        <v/>
      </c>
    </row>
    <row r="273" customFormat="false" ht="21.75" hidden="false" customHeight="true" outlineLevel="0" collapsed="false">
      <c r="A273" s="16" t="str">
        <f aca="false">IFERROR(IF(Members!A270="","",Members!A270),"")</f>
        <v/>
      </c>
      <c r="B273" s="16" t="str">
        <f aca="false">IFERROR(IF(Members!A270="","",Members!B270),"")</f>
        <v/>
      </c>
      <c r="C273" s="16" t="str">
        <f aca="false">IFERROR(IF(Members!A270="","",Members!C270),"")</f>
        <v/>
      </c>
      <c r="D273" s="16" t="str">
        <f aca="false">IFERROR(IF(Members!A270="","",Members!D270),"")</f>
        <v/>
      </c>
      <c r="E273" s="16" t="str">
        <f aca="false">IF(A273="","",COUNTIF(Completions!A:A,A273))</f>
        <v/>
      </c>
      <c r="F273" s="16" t="str">
        <f aca="false">IF(A273="","",SUMPRODUCT((Completions!A$2:A$5000=A273)*IFERROR(VLOOKUP(Completions!B$2:B$5000,$J$4:$K$18,2,FALSE()),0)))</f>
        <v/>
      </c>
      <c r="G273" s="16" t="str">
        <f aca="false">IF(A273="","",IF(F273&gt;=20,"Gold",IF(F273&gt;=14,"Silver",IF(F273&gt;=8,"Bronze","—"))))</f>
        <v/>
      </c>
      <c r="H273" s="16" t="str">
        <f aca="false">IF(A273="","",IFERROR(TEXT(maxifs(Completions!G:G,Completions!A:A,A273),"yyyy-mm-dd hh:mm"),"—"))</f>
        <v/>
      </c>
    </row>
    <row r="274" customFormat="false" ht="21.75" hidden="false" customHeight="true" outlineLevel="0" collapsed="false">
      <c r="A274" s="17" t="str">
        <f aca="false">IFERROR(IF(Members!A271="","",Members!A271),"")</f>
        <v/>
      </c>
      <c r="B274" s="17" t="str">
        <f aca="false">IFERROR(IF(Members!A271="","",Members!B271),"")</f>
        <v/>
      </c>
      <c r="C274" s="17" t="str">
        <f aca="false">IFERROR(IF(Members!A271="","",Members!C271),"")</f>
        <v/>
      </c>
      <c r="D274" s="17" t="str">
        <f aca="false">IFERROR(IF(Members!A271="","",Members!D271),"")</f>
        <v/>
      </c>
      <c r="E274" s="17" t="str">
        <f aca="false">IF(A274="","",COUNTIF(Completions!A:A,A274))</f>
        <v/>
      </c>
      <c r="F274" s="17" t="str">
        <f aca="false">IF(A274="","",SUMPRODUCT((Completions!A$2:A$5000=A274)*IFERROR(VLOOKUP(Completions!B$2:B$5000,$J$4:$K$18,2,FALSE()),0)))</f>
        <v/>
      </c>
      <c r="G274" s="17" t="str">
        <f aca="false">IF(A274="","",IF(F274&gt;=20,"Gold",IF(F274&gt;=14,"Silver",IF(F274&gt;=8,"Bronze","—"))))</f>
        <v/>
      </c>
      <c r="H274" s="17" t="str">
        <f aca="false">IF(A274="","",IFERROR(TEXT(maxifs(Completions!G:G,Completions!A:A,A274),"yyyy-mm-dd hh:mm"),"—"))</f>
        <v/>
      </c>
    </row>
    <row r="275" customFormat="false" ht="21.75" hidden="false" customHeight="true" outlineLevel="0" collapsed="false">
      <c r="A275" s="16" t="str">
        <f aca="false">IFERROR(IF(Members!A272="","",Members!A272),"")</f>
        <v/>
      </c>
      <c r="B275" s="16" t="str">
        <f aca="false">IFERROR(IF(Members!A272="","",Members!B272),"")</f>
        <v/>
      </c>
      <c r="C275" s="16" t="str">
        <f aca="false">IFERROR(IF(Members!A272="","",Members!C272),"")</f>
        <v/>
      </c>
      <c r="D275" s="16" t="str">
        <f aca="false">IFERROR(IF(Members!A272="","",Members!D272),"")</f>
        <v/>
      </c>
      <c r="E275" s="16" t="str">
        <f aca="false">IF(A275="","",COUNTIF(Completions!A:A,A275))</f>
        <v/>
      </c>
      <c r="F275" s="16" t="str">
        <f aca="false">IF(A275="","",SUMPRODUCT((Completions!A$2:A$5000=A275)*IFERROR(VLOOKUP(Completions!B$2:B$5000,$J$4:$K$18,2,FALSE()),0)))</f>
        <v/>
      </c>
      <c r="G275" s="16" t="str">
        <f aca="false">IF(A275="","",IF(F275&gt;=20,"Gold",IF(F275&gt;=14,"Silver",IF(F275&gt;=8,"Bronze","—"))))</f>
        <v/>
      </c>
      <c r="H275" s="16" t="str">
        <f aca="false">IF(A275="","",IFERROR(TEXT(maxifs(Completions!G:G,Completions!A:A,A275),"yyyy-mm-dd hh:mm"),"—"))</f>
        <v/>
      </c>
    </row>
    <row r="276" customFormat="false" ht="21.75" hidden="false" customHeight="true" outlineLevel="0" collapsed="false">
      <c r="A276" s="17" t="str">
        <f aca="false">IFERROR(IF(Members!A273="","",Members!A273),"")</f>
        <v/>
      </c>
      <c r="B276" s="17" t="str">
        <f aca="false">IFERROR(IF(Members!A273="","",Members!B273),"")</f>
        <v/>
      </c>
      <c r="C276" s="17" t="str">
        <f aca="false">IFERROR(IF(Members!A273="","",Members!C273),"")</f>
        <v/>
      </c>
      <c r="D276" s="17" t="str">
        <f aca="false">IFERROR(IF(Members!A273="","",Members!D273),"")</f>
        <v/>
      </c>
      <c r="E276" s="17" t="str">
        <f aca="false">IF(A276="","",COUNTIF(Completions!A:A,A276))</f>
        <v/>
      </c>
      <c r="F276" s="17" t="str">
        <f aca="false">IF(A276="","",SUMPRODUCT((Completions!A$2:A$5000=A276)*IFERROR(VLOOKUP(Completions!B$2:B$5000,$J$4:$K$18,2,FALSE()),0)))</f>
        <v/>
      </c>
      <c r="G276" s="17" t="str">
        <f aca="false">IF(A276="","",IF(F276&gt;=20,"Gold",IF(F276&gt;=14,"Silver",IF(F276&gt;=8,"Bronze","—"))))</f>
        <v/>
      </c>
      <c r="H276" s="17" t="str">
        <f aca="false">IF(A276="","",IFERROR(TEXT(maxifs(Completions!G:G,Completions!A:A,A276),"yyyy-mm-dd hh:mm"),"—"))</f>
        <v/>
      </c>
    </row>
    <row r="277" customFormat="false" ht="21.75" hidden="false" customHeight="true" outlineLevel="0" collapsed="false">
      <c r="A277" s="16" t="str">
        <f aca="false">IFERROR(IF(Members!A274="","",Members!A274),"")</f>
        <v/>
      </c>
      <c r="B277" s="16" t="str">
        <f aca="false">IFERROR(IF(Members!A274="","",Members!B274),"")</f>
        <v/>
      </c>
      <c r="C277" s="16" t="str">
        <f aca="false">IFERROR(IF(Members!A274="","",Members!C274),"")</f>
        <v/>
      </c>
      <c r="D277" s="16" t="str">
        <f aca="false">IFERROR(IF(Members!A274="","",Members!D274),"")</f>
        <v/>
      </c>
      <c r="E277" s="16" t="str">
        <f aca="false">IF(A277="","",COUNTIF(Completions!A:A,A277))</f>
        <v/>
      </c>
      <c r="F277" s="16" t="str">
        <f aca="false">IF(A277="","",SUMPRODUCT((Completions!A$2:A$5000=A277)*IFERROR(VLOOKUP(Completions!B$2:B$5000,$J$4:$K$18,2,FALSE()),0)))</f>
        <v/>
      </c>
      <c r="G277" s="16" t="str">
        <f aca="false">IF(A277="","",IF(F277&gt;=20,"Gold",IF(F277&gt;=14,"Silver",IF(F277&gt;=8,"Bronze","—"))))</f>
        <v/>
      </c>
      <c r="H277" s="16" t="str">
        <f aca="false">IF(A277="","",IFERROR(TEXT(maxifs(Completions!G:G,Completions!A:A,A277),"yyyy-mm-dd hh:mm"),"—"))</f>
        <v/>
      </c>
    </row>
    <row r="278" customFormat="false" ht="21.75" hidden="false" customHeight="true" outlineLevel="0" collapsed="false">
      <c r="A278" s="17" t="str">
        <f aca="false">IFERROR(IF(Members!A275="","",Members!A275),"")</f>
        <v/>
      </c>
      <c r="B278" s="17" t="str">
        <f aca="false">IFERROR(IF(Members!A275="","",Members!B275),"")</f>
        <v/>
      </c>
      <c r="C278" s="17" t="str">
        <f aca="false">IFERROR(IF(Members!A275="","",Members!C275),"")</f>
        <v/>
      </c>
      <c r="D278" s="17" t="str">
        <f aca="false">IFERROR(IF(Members!A275="","",Members!D275),"")</f>
        <v/>
      </c>
      <c r="E278" s="17" t="str">
        <f aca="false">IF(A278="","",COUNTIF(Completions!A:A,A278))</f>
        <v/>
      </c>
      <c r="F278" s="17" t="str">
        <f aca="false">IF(A278="","",SUMPRODUCT((Completions!A$2:A$5000=A278)*IFERROR(VLOOKUP(Completions!B$2:B$5000,$J$4:$K$18,2,FALSE()),0)))</f>
        <v/>
      </c>
      <c r="G278" s="17" t="str">
        <f aca="false">IF(A278="","",IF(F278&gt;=20,"Gold",IF(F278&gt;=14,"Silver",IF(F278&gt;=8,"Bronze","—"))))</f>
        <v/>
      </c>
      <c r="H278" s="17" t="str">
        <f aca="false">IF(A278="","",IFERROR(TEXT(maxifs(Completions!G:G,Completions!A:A,A278),"yyyy-mm-dd hh:mm"),"—"))</f>
        <v/>
      </c>
    </row>
    <row r="279" customFormat="false" ht="21.75" hidden="false" customHeight="true" outlineLevel="0" collapsed="false">
      <c r="A279" s="16" t="str">
        <f aca="false">IFERROR(IF(Members!A276="","",Members!A276),"")</f>
        <v/>
      </c>
      <c r="B279" s="16" t="str">
        <f aca="false">IFERROR(IF(Members!A276="","",Members!B276),"")</f>
        <v/>
      </c>
      <c r="C279" s="16" t="str">
        <f aca="false">IFERROR(IF(Members!A276="","",Members!C276),"")</f>
        <v/>
      </c>
      <c r="D279" s="16" t="str">
        <f aca="false">IFERROR(IF(Members!A276="","",Members!D276),"")</f>
        <v/>
      </c>
      <c r="E279" s="16" t="str">
        <f aca="false">IF(A279="","",COUNTIF(Completions!A:A,A279))</f>
        <v/>
      </c>
      <c r="F279" s="16" t="str">
        <f aca="false">IF(A279="","",SUMPRODUCT((Completions!A$2:A$5000=A279)*IFERROR(VLOOKUP(Completions!B$2:B$5000,$J$4:$K$18,2,FALSE()),0)))</f>
        <v/>
      </c>
      <c r="G279" s="16" t="str">
        <f aca="false">IF(A279="","",IF(F279&gt;=20,"Gold",IF(F279&gt;=14,"Silver",IF(F279&gt;=8,"Bronze","—"))))</f>
        <v/>
      </c>
      <c r="H279" s="16" t="str">
        <f aca="false">IF(A279="","",IFERROR(TEXT(maxifs(Completions!G:G,Completions!A:A,A279),"yyyy-mm-dd hh:mm"),"—"))</f>
        <v/>
      </c>
    </row>
    <row r="280" customFormat="false" ht="21.75" hidden="false" customHeight="true" outlineLevel="0" collapsed="false">
      <c r="A280" s="17" t="str">
        <f aca="false">IFERROR(IF(Members!A277="","",Members!A277),"")</f>
        <v/>
      </c>
      <c r="B280" s="17" t="str">
        <f aca="false">IFERROR(IF(Members!A277="","",Members!B277),"")</f>
        <v/>
      </c>
      <c r="C280" s="17" t="str">
        <f aca="false">IFERROR(IF(Members!A277="","",Members!C277),"")</f>
        <v/>
      </c>
      <c r="D280" s="17" t="str">
        <f aca="false">IFERROR(IF(Members!A277="","",Members!D277),"")</f>
        <v/>
      </c>
      <c r="E280" s="17" t="str">
        <f aca="false">IF(A280="","",COUNTIF(Completions!A:A,A280))</f>
        <v/>
      </c>
      <c r="F280" s="17" t="str">
        <f aca="false">IF(A280="","",SUMPRODUCT((Completions!A$2:A$5000=A280)*IFERROR(VLOOKUP(Completions!B$2:B$5000,$J$4:$K$18,2,FALSE()),0)))</f>
        <v/>
      </c>
      <c r="G280" s="17" t="str">
        <f aca="false">IF(A280="","",IF(F280&gt;=20,"Gold",IF(F280&gt;=14,"Silver",IF(F280&gt;=8,"Bronze","—"))))</f>
        <v/>
      </c>
      <c r="H280" s="17" t="str">
        <f aca="false">IF(A280="","",IFERROR(TEXT(maxifs(Completions!G:G,Completions!A:A,A280),"yyyy-mm-dd hh:mm"),"—"))</f>
        <v/>
      </c>
    </row>
    <row r="281" customFormat="false" ht="21.75" hidden="false" customHeight="true" outlineLevel="0" collapsed="false">
      <c r="A281" s="16" t="str">
        <f aca="false">IFERROR(IF(Members!A278="","",Members!A278),"")</f>
        <v/>
      </c>
      <c r="B281" s="16" t="str">
        <f aca="false">IFERROR(IF(Members!A278="","",Members!B278),"")</f>
        <v/>
      </c>
      <c r="C281" s="16" t="str">
        <f aca="false">IFERROR(IF(Members!A278="","",Members!C278),"")</f>
        <v/>
      </c>
      <c r="D281" s="16" t="str">
        <f aca="false">IFERROR(IF(Members!A278="","",Members!D278),"")</f>
        <v/>
      </c>
      <c r="E281" s="16" t="str">
        <f aca="false">IF(A281="","",COUNTIF(Completions!A:A,A281))</f>
        <v/>
      </c>
      <c r="F281" s="16" t="str">
        <f aca="false">IF(A281="","",SUMPRODUCT((Completions!A$2:A$5000=A281)*IFERROR(VLOOKUP(Completions!B$2:B$5000,$J$4:$K$18,2,FALSE()),0)))</f>
        <v/>
      </c>
      <c r="G281" s="16" t="str">
        <f aca="false">IF(A281="","",IF(F281&gt;=20,"Gold",IF(F281&gt;=14,"Silver",IF(F281&gt;=8,"Bronze","—"))))</f>
        <v/>
      </c>
      <c r="H281" s="16" t="str">
        <f aca="false">IF(A281="","",IFERROR(TEXT(maxifs(Completions!G:G,Completions!A:A,A281),"yyyy-mm-dd hh:mm"),"—"))</f>
        <v/>
      </c>
    </row>
    <row r="282" customFormat="false" ht="21.75" hidden="false" customHeight="true" outlineLevel="0" collapsed="false">
      <c r="A282" s="17" t="str">
        <f aca="false">IFERROR(IF(Members!A279="","",Members!A279),"")</f>
        <v/>
      </c>
      <c r="B282" s="17" t="str">
        <f aca="false">IFERROR(IF(Members!A279="","",Members!B279),"")</f>
        <v/>
      </c>
      <c r="C282" s="17" t="str">
        <f aca="false">IFERROR(IF(Members!A279="","",Members!C279),"")</f>
        <v/>
      </c>
      <c r="D282" s="17" t="str">
        <f aca="false">IFERROR(IF(Members!A279="","",Members!D279),"")</f>
        <v/>
      </c>
      <c r="E282" s="17" t="str">
        <f aca="false">IF(A282="","",COUNTIF(Completions!A:A,A282))</f>
        <v/>
      </c>
      <c r="F282" s="17" t="str">
        <f aca="false">IF(A282="","",SUMPRODUCT((Completions!A$2:A$5000=A282)*IFERROR(VLOOKUP(Completions!B$2:B$5000,$J$4:$K$18,2,FALSE()),0)))</f>
        <v/>
      </c>
      <c r="G282" s="17" t="str">
        <f aca="false">IF(A282="","",IF(F282&gt;=20,"Gold",IF(F282&gt;=14,"Silver",IF(F282&gt;=8,"Bronze","—"))))</f>
        <v/>
      </c>
      <c r="H282" s="17" t="str">
        <f aca="false">IF(A282="","",IFERROR(TEXT(maxifs(Completions!G:G,Completions!A:A,A282),"yyyy-mm-dd hh:mm"),"—"))</f>
        <v/>
      </c>
    </row>
    <row r="283" customFormat="false" ht="21.75" hidden="false" customHeight="true" outlineLevel="0" collapsed="false">
      <c r="A283" s="16" t="str">
        <f aca="false">IFERROR(IF(Members!A280="","",Members!A280),"")</f>
        <v/>
      </c>
      <c r="B283" s="16" t="str">
        <f aca="false">IFERROR(IF(Members!A280="","",Members!B280),"")</f>
        <v/>
      </c>
      <c r="C283" s="16" t="str">
        <f aca="false">IFERROR(IF(Members!A280="","",Members!C280),"")</f>
        <v/>
      </c>
      <c r="D283" s="16" t="str">
        <f aca="false">IFERROR(IF(Members!A280="","",Members!D280),"")</f>
        <v/>
      </c>
      <c r="E283" s="16" t="str">
        <f aca="false">IF(A283="","",COUNTIF(Completions!A:A,A283))</f>
        <v/>
      </c>
      <c r="F283" s="16" t="str">
        <f aca="false">IF(A283="","",SUMPRODUCT((Completions!A$2:A$5000=A283)*IFERROR(VLOOKUP(Completions!B$2:B$5000,$J$4:$K$18,2,FALSE()),0)))</f>
        <v/>
      </c>
      <c r="G283" s="16" t="str">
        <f aca="false">IF(A283="","",IF(F283&gt;=20,"Gold",IF(F283&gt;=14,"Silver",IF(F283&gt;=8,"Bronze","—"))))</f>
        <v/>
      </c>
      <c r="H283" s="16" t="str">
        <f aca="false">IF(A283="","",IFERROR(TEXT(maxifs(Completions!G:G,Completions!A:A,A283),"yyyy-mm-dd hh:mm"),"—"))</f>
        <v/>
      </c>
    </row>
    <row r="284" customFormat="false" ht="21.75" hidden="false" customHeight="true" outlineLevel="0" collapsed="false">
      <c r="A284" s="17" t="str">
        <f aca="false">IFERROR(IF(Members!A281="","",Members!A281),"")</f>
        <v/>
      </c>
      <c r="B284" s="17" t="str">
        <f aca="false">IFERROR(IF(Members!A281="","",Members!B281),"")</f>
        <v/>
      </c>
      <c r="C284" s="17" t="str">
        <f aca="false">IFERROR(IF(Members!A281="","",Members!C281),"")</f>
        <v/>
      </c>
      <c r="D284" s="17" t="str">
        <f aca="false">IFERROR(IF(Members!A281="","",Members!D281),"")</f>
        <v/>
      </c>
      <c r="E284" s="17" t="str">
        <f aca="false">IF(A284="","",COUNTIF(Completions!A:A,A284))</f>
        <v/>
      </c>
      <c r="F284" s="17" t="str">
        <f aca="false">IF(A284="","",SUMPRODUCT((Completions!A$2:A$5000=A284)*IFERROR(VLOOKUP(Completions!B$2:B$5000,$J$4:$K$18,2,FALSE()),0)))</f>
        <v/>
      </c>
      <c r="G284" s="17" t="str">
        <f aca="false">IF(A284="","",IF(F284&gt;=20,"Gold",IF(F284&gt;=14,"Silver",IF(F284&gt;=8,"Bronze","—"))))</f>
        <v/>
      </c>
      <c r="H284" s="17" t="str">
        <f aca="false">IF(A284="","",IFERROR(TEXT(maxifs(Completions!G:G,Completions!A:A,A284),"yyyy-mm-dd hh:mm"),"—"))</f>
        <v/>
      </c>
    </row>
    <row r="285" customFormat="false" ht="21.75" hidden="false" customHeight="true" outlineLevel="0" collapsed="false">
      <c r="A285" s="16" t="str">
        <f aca="false">IFERROR(IF(Members!A282="","",Members!A282),"")</f>
        <v/>
      </c>
      <c r="B285" s="16" t="str">
        <f aca="false">IFERROR(IF(Members!A282="","",Members!B282),"")</f>
        <v/>
      </c>
      <c r="C285" s="16" t="str">
        <f aca="false">IFERROR(IF(Members!A282="","",Members!C282),"")</f>
        <v/>
      </c>
      <c r="D285" s="16" t="str">
        <f aca="false">IFERROR(IF(Members!A282="","",Members!D282),"")</f>
        <v/>
      </c>
      <c r="E285" s="16" t="str">
        <f aca="false">IF(A285="","",COUNTIF(Completions!A:A,A285))</f>
        <v/>
      </c>
      <c r="F285" s="16" t="str">
        <f aca="false">IF(A285="","",SUMPRODUCT((Completions!A$2:A$5000=A285)*IFERROR(VLOOKUP(Completions!B$2:B$5000,$J$4:$K$18,2,FALSE()),0)))</f>
        <v/>
      </c>
      <c r="G285" s="16" t="str">
        <f aca="false">IF(A285="","",IF(F285&gt;=20,"Gold",IF(F285&gt;=14,"Silver",IF(F285&gt;=8,"Bronze","—"))))</f>
        <v/>
      </c>
      <c r="H285" s="16" t="str">
        <f aca="false">IF(A285="","",IFERROR(TEXT(maxifs(Completions!G:G,Completions!A:A,A285),"yyyy-mm-dd hh:mm"),"—"))</f>
        <v/>
      </c>
    </row>
    <row r="286" customFormat="false" ht="21.75" hidden="false" customHeight="true" outlineLevel="0" collapsed="false">
      <c r="A286" s="17" t="str">
        <f aca="false">IFERROR(IF(Members!A283="","",Members!A283),"")</f>
        <v/>
      </c>
      <c r="B286" s="17" t="str">
        <f aca="false">IFERROR(IF(Members!A283="","",Members!B283),"")</f>
        <v/>
      </c>
      <c r="C286" s="17" t="str">
        <f aca="false">IFERROR(IF(Members!A283="","",Members!C283),"")</f>
        <v/>
      </c>
      <c r="D286" s="17" t="str">
        <f aca="false">IFERROR(IF(Members!A283="","",Members!D283),"")</f>
        <v/>
      </c>
      <c r="E286" s="17" t="str">
        <f aca="false">IF(A286="","",COUNTIF(Completions!A:A,A286))</f>
        <v/>
      </c>
      <c r="F286" s="17" t="str">
        <f aca="false">IF(A286="","",SUMPRODUCT((Completions!A$2:A$5000=A286)*IFERROR(VLOOKUP(Completions!B$2:B$5000,$J$4:$K$18,2,FALSE()),0)))</f>
        <v/>
      </c>
      <c r="G286" s="17" t="str">
        <f aca="false">IF(A286="","",IF(F286&gt;=20,"Gold",IF(F286&gt;=14,"Silver",IF(F286&gt;=8,"Bronze","—"))))</f>
        <v/>
      </c>
      <c r="H286" s="17" t="str">
        <f aca="false">IF(A286="","",IFERROR(TEXT(maxifs(Completions!G:G,Completions!A:A,A286),"yyyy-mm-dd hh:mm"),"—"))</f>
        <v/>
      </c>
    </row>
    <row r="287" customFormat="false" ht="21.75" hidden="false" customHeight="true" outlineLevel="0" collapsed="false">
      <c r="A287" s="16" t="str">
        <f aca="false">IFERROR(IF(Members!A284="","",Members!A284),"")</f>
        <v/>
      </c>
      <c r="B287" s="16" t="str">
        <f aca="false">IFERROR(IF(Members!A284="","",Members!B284),"")</f>
        <v/>
      </c>
      <c r="C287" s="16" t="str">
        <f aca="false">IFERROR(IF(Members!A284="","",Members!C284),"")</f>
        <v/>
      </c>
      <c r="D287" s="16" t="str">
        <f aca="false">IFERROR(IF(Members!A284="","",Members!D284),"")</f>
        <v/>
      </c>
      <c r="E287" s="16" t="str">
        <f aca="false">IF(A287="","",COUNTIF(Completions!A:A,A287))</f>
        <v/>
      </c>
      <c r="F287" s="16" t="str">
        <f aca="false">IF(A287="","",SUMPRODUCT((Completions!A$2:A$5000=A287)*IFERROR(VLOOKUP(Completions!B$2:B$5000,$J$4:$K$18,2,FALSE()),0)))</f>
        <v/>
      </c>
      <c r="G287" s="16" t="str">
        <f aca="false">IF(A287="","",IF(F287&gt;=20,"Gold",IF(F287&gt;=14,"Silver",IF(F287&gt;=8,"Bronze","—"))))</f>
        <v/>
      </c>
      <c r="H287" s="16" t="str">
        <f aca="false">IF(A287="","",IFERROR(TEXT(maxifs(Completions!G:G,Completions!A:A,A287),"yyyy-mm-dd hh:mm"),"—"))</f>
        <v/>
      </c>
    </row>
    <row r="288" customFormat="false" ht="21.75" hidden="false" customHeight="true" outlineLevel="0" collapsed="false">
      <c r="A288" s="17" t="str">
        <f aca="false">IFERROR(IF(Members!A285="","",Members!A285),"")</f>
        <v/>
      </c>
      <c r="B288" s="17" t="str">
        <f aca="false">IFERROR(IF(Members!A285="","",Members!B285),"")</f>
        <v/>
      </c>
      <c r="C288" s="17" t="str">
        <f aca="false">IFERROR(IF(Members!A285="","",Members!C285),"")</f>
        <v/>
      </c>
      <c r="D288" s="17" t="str">
        <f aca="false">IFERROR(IF(Members!A285="","",Members!D285),"")</f>
        <v/>
      </c>
      <c r="E288" s="17" t="str">
        <f aca="false">IF(A288="","",COUNTIF(Completions!A:A,A288))</f>
        <v/>
      </c>
      <c r="F288" s="17" t="str">
        <f aca="false">IF(A288="","",SUMPRODUCT((Completions!A$2:A$5000=A288)*IFERROR(VLOOKUP(Completions!B$2:B$5000,$J$4:$K$18,2,FALSE()),0)))</f>
        <v/>
      </c>
      <c r="G288" s="17" t="str">
        <f aca="false">IF(A288="","",IF(F288&gt;=20,"Gold",IF(F288&gt;=14,"Silver",IF(F288&gt;=8,"Bronze","—"))))</f>
        <v/>
      </c>
      <c r="H288" s="17" t="str">
        <f aca="false">IF(A288="","",IFERROR(TEXT(maxifs(Completions!G:G,Completions!A:A,A288),"yyyy-mm-dd hh:mm"),"—"))</f>
        <v/>
      </c>
    </row>
    <row r="289" customFormat="false" ht="21.75" hidden="false" customHeight="true" outlineLevel="0" collapsed="false">
      <c r="A289" s="16" t="str">
        <f aca="false">IFERROR(IF(Members!A286="","",Members!A286),"")</f>
        <v/>
      </c>
      <c r="B289" s="16" t="str">
        <f aca="false">IFERROR(IF(Members!A286="","",Members!B286),"")</f>
        <v/>
      </c>
      <c r="C289" s="16" t="str">
        <f aca="false">IFERROR(IF(Members!A286="","",Members!C286),"")</f>
        <v/>
      </c>
      <c r="D289" s="16" t="str">
        <f aca="false">IFERROR(IF(Members!A286="","",Members!D286),"")</f>
        <v/>
      </c>
      <c r="E289" s="16" t="str">
        <f aca="false">IF(A289="","",COUNTIF(Completions!A:A,A289))</f>
        <v/>
      </c>
      <c r="F289" s="16" t="str">
        <f aca="false">IF(A289="","",SUMPRODUCT((Completions!A$2:A$5000=A289)*IFERROR(VLOOKUP(Completions!B$2:B$5000,$J$4:$K$18,2,FALSE()),0)))</f>
        <v/>
      </c>
      <c r="G289" s="16" t="str">
        <f aca="false">IF(A289="","",IF(F289&gt;=20,"Gold",IF(F289&gt;=14,"Silver",IF(F289&gt;=8,"Bronze","—"))))</f>
        <v/>
      </c>
      <c r="H289" s="16" t="str">
        <f aca="false">IF(A289="","",IFERROR(TEXT(maxifs(Completions!G:G,Completions!A:A,A289),"yyyy-mm-dd hh:mm"),"—"))</f>
        <v/>
      </c>
    </row>
    <row r="290" customFormat="false" ht="21.75" hidden="false" customHeight="true" outlineLevel="0" collapsed="false">
      <c r="A290" s="17" t="str">
        <f aca="false">IFERROR(IF(Members!A287="","",Members!A287),"")</f>
        <v/>
      </c>
      <c r="B290" s="17" t="str">
        <f aca="false">IFERROR(IF(Members!A287="","",Members!B287),"")</f>
        <v/>
      </c>
      <c r="C290" s="17" t="str">
        <f aca="false">IFERROR(IF(Members!A287="","",Members!C287),"")</f>
        <v/>
      </c>
      <c r="D290" s="17" t="str">
        <f aca="false">IFERROR(IF(Members!A287="","",Members!D287),"")</f>
        <v/>
      </c>
      <c r="E290" s="17" t="str">
        <f aca="false">IF(A290="","",COUNTIF(Completions!A:A,A290))</f>
        <v/>
      </c>
      <c r="F290" s="17" t="str">
        <f aca="false">IF(A290="","",SUMPRODUCT((Completions!A$2:A$5000=A290)*IFERROR(VLOOKUP(Completions!B$2:B$5000,$J$4:$K$18,2,FALSE()),0)))</f>
        <v/>
      </c>
      <c r="G290" s="17" t="str">
        <f aca="false">IF(A290="","",IF(F290&gt;=20,"Gold",IF(F290&gt;=14,"Silver",IF(F290&gt;=8,"Bronze","—"))))</f>
        <v/>
      </c>
      <c r="H290" s="17" t="str">
        <f aca="false">IF(A290="","",IFERROR(TEXT(maxifs(Completions!G:G,Completions!A:A,A290),"yyyy-mm-dd hh:mm"),"—"))</f>
        <v/>
      </c>
    </row>
    <row r="291" customFormat="false" ht="21.75" hidden="false" customHeight="true" outlineLevel="0" collapsed="false">
      <c r="A291" s="16" t="str">
        <f aca="false">IFERROR(IF(Members!A288="","",Members!A288),"")</f>
        <v/>
      </c>
      <c r="B291" s="16" t="str">
        <f aca="false">IFERROR(IF(Members!A288="","",Members!B288),"")</f>
        <v/>
      </c>
      <c r="C291" s="16" t="str">
        <f aca="false">IFERROR(IF(Members!A288="","",Members!C288),"")</f>
        <v/>
      </c>
      <c r="D291" s="16" t="str">
        <f aca="false">IFERROR(IF(Members!A288="","",Members!D288),"")</f>
        <v/>
      </c>
      <c r="E291" s="16" t="str">
        <f aca="false">IF(A291="","",COUNTIF(Completions!A:A,A291))</f>
        <v/>
      </c>
      <c r="F291" s="16" t="str">
        <f aca="false">IF(A291="","",SUMPRODUCT((Completions!A$2:A$5000=A291)*IFERROR(VLOOKUP(Completions!B$2:B$5000,$J$4:$K$18,2,FALSE()),0)))</f>
        <v/>
      </c>
      <c r="G291" s="16" t="str">
        <f aca="false">IF(A291="","",IF(F291&gt;=20,"Gold",IF(F291&gt;=14,"Silver",IF(F291&gt;=8,"Bronze","—"))))</f>
        <v/>
      </c>
      <c r="H291" s="16" t="str">
        <f aca="false">IF(A291="","",IFERROR(TEXT(maxifs(Completions!G:G,Completions!A:A,A291),"yyyy-mm-dd hh:mm"),"—"))</f>
        <v/>
      </c>
    </row>
    <row r="292" customFormat="false" ht="21.75" hidden="false" customHeight="true" outlineLevel="0" collapsed="false">
      <c r="A292" s="17" t="str">
        <f aca="false">IFERROR(IF(Members!A289="","",Members!A289),"")</f>
        <v/>
      </c>
      <c r="B292" s="17" t="str">
        <f aca="false">IFERROR(IF(Members!A289="","",Members!B289),"")</f>
        <v/>
      </c>
      <c r="C292" s="17" t="str">
        <f aca="false">IFERROR(IF(Members!A289="","",Members!C289),"")</f>
        <v/>
      </c>
      <c r="D292" s="17" t="str">
        <f aca="false">IFERROR(IF(Members!A289="","",Members!D289),"")</f>
        <v/>
      </c>
      <c r="E292" s="17" t="str">
        <f aca="false">IF(A292="","",COUNTIF(Completions!A:A,A292))</f>
        <v/>
      </c>
      <c r="F292" s="17" t="str">
        <f aca="false">IF(A292="","",SUMPRODUCT((Completions!A$2:A$5000=A292)*IFERROR(VLOOKUP(Completions!B$2:B$5000,$J$4:$K$18,2,FALSE()),0)))</f>
        <v/>
      </c>
      <c r="G292" s="17" t="str">
        <f aca="false">IF(A292="","",IF(F292&gt;=20,"Gold",IF(F292&gt;=14,"Silver",IF(F292&gt;=8,"Bronze","—"))))</f>
        <v/>
      </c>
      <c r="H292" s="17" t="str">
        <f aca="false">IF(A292="","",IFERROR(TEXT(maxifs(Completions!G:G,Completions!A:A,A292),"yyyy-mm-dd hh:mm"),"—"))</f>
        <v/>
      </c>
    </row>
    <row r="293" customFormat="false" ht="21.75" hidden="false" customHeight="true" outlineLevel="0" collapsed="false">
      <c r="A293" s="16" t="str">
        <f aca="false">IFERROR(IF(Members!A290="","",Members!A290),"")</f>
        <v/>
      </c>
      <c r="B293" s="16" t="str">
        <f aca="false">IFERROR(IF(Members!A290="","",Members!B290),"")</f>
        <v/>
      </c>
      <c r="C293" s="16" t="str">
        <f aca="false">IFERROR(IF(Members!A290="","",Members!C290),"")</f>
        <v/>
      </c>
      <c r="D293" s="16" t="str">
        <f aca="false">IFERROR(IF(Members!A290="","",Members!D290),"")</f>
        <v/>
      </c>
      <c r="E293" s="16" t="str">
        <f aca="false">IF(A293="","",COUNTIF(Completions!A:A,A293))</f>
        <v/>
      </c>
      <c r="F293" s="16" t="str">
        <f aca="false">IF(A293="","",SUMPRODUCT((Completions!A$2:A$5000=A293)*IFERROR(VLOOKUP(Completions!B$2:B$5000,$J$4:$K$18,2,FALSE()),0)))</f>
        <v/>
      </c>
      <c r="G293" s="16" t="str">
        <f aca="false">IF(A293="","",IF(F293&gt;=20,"Gold",IF(F293&gt;=14,"Silver",IF(F293&gt;=8,"Bronze","—"))))</f>
        <v/>
      </c>
      <c r="H293" s="16" t="str">
        <f aca="false">IF(A293="","",IFERROR(TEXT(maxifs(Completions!G:G,Completions!A:A,A293),"yyyy-mm-dd hh:mm"),"—"))</f>
        <v/>
      </c>
    </row>
    <row r="294" customFormat="false" ht="21.75" hidden="false" customHeight="true" outlineLevel="0" collapsed="false">
      <c r="A294" s="17" t="str">
        <f aca="false">IFERROR(IF(Members!A291="","",Members!A291),"")</f>
        <v/>
      </c>
      <c r="B294" s="17" t="str">
        <f aca="false">IFERROR(IF(Members!A291="","",Members!B291),"")</f>
        <v/>
      </c>
      <c r="C294" s="17" t="str">
        <f aca="false">IFERROR(IF(Members!A291="","",Members!C291),"")</f>
        <v/>
      </c>
      <c r="D294" s="17" t="str">
        <f aca="false">IFERROR(IF(Members!A291="","",Members!D291),"")</f>
        <v/>
      </c>
      <c r="E294" s="17" t="str">
        <f aca="false">IF(A294="","",COUNTIF(Completions!A:A,A294))</f>
        <v/>
      </c>
      <c r="F294" s="17" t="str">
        <f aca="false">IF(A294="","",SUMPRODUCT((Completions!A$2:A$5000=A294)*IFERROR(VLOOKUP(Completions!B$2:B$5000,$J$4:$K$18,2,FALSE()),0)))</f>
        <v/>
      </c>
      <c r="G294" s="17" t="str">
        <f aca="false">IF(A294="","",IF(F294&gt;=20,"Gold",IF(F294&gt;=14,"Silver",IF(F294&gt;=8,"Bronze","—"))))</f>
        <v/>
      </c>
      <c r="H294" s="17" t="str">
        <f aca="false">IF(A294="","",IFERROR(TEXT(maxifs(Completions!G:G,Completions!A:A,A294),"yyyy-mm-dd hh:mm"),"—"))</f>
        <v/>
      </c>
    </row>
    <row r="295" customFormat="false" ht="21.75" hidden="false" customHeight="true" outlineLevel="0" collapsed="false">
      <c r="A295" s="16" t="str">
        <f aca="false">IFERROR(IF(Members!A292="","",Members!A292),"")</f>
        <v/>
      </c>
      <c r="B295" s="16" t="str">
        <f aca="false">IFERROR(IF(Members!A292="","",Members!B292),"")</f>
        <v/>
      </c>
      <c r="C295" s="16" t="str">
        <f aca="false">IFERROR(IF(Members!A292="","",Members!C292),"")</f>
        <v/>
      </c>
      <c r="D295" s="16" t="str">
        <f aca="false">IFERROR(IF(Members!A292="","",Members!D292),"")</f>
        <v/>
      </c>
      <c r="E295" s="16" t="str">
        <f aca="false">IF(A295="","",COUNTIF(Completions!A:A,A295))</f>
        <v/>
      </c>
      <c r="F295" s="16" t="str">
        <f aca="false">IF(A295="","",SUMPRODUCT((Completions!A$2:A$5000=A295)*IFERROR(VLOOKUP(Completions!B$2:B$5000,$J$4:$K$18,2,FALSE()),0)))</f>
        <v/>
      </c>
      <c r="G295" s="16" t="str">
        <f aca="false">IF(A295="","",IF(F295&gt;=20,"Gold",IF(F295&gt;=14,"Silver",IF(F295&gt;=8,"Bronze","—"))))</f>
        <v/>
      </c>
      <c r="H295" s="16" t="str">
        <f aca="false">IF(A295="","",IFERROR(TEXT(maxifs(Completions!G:G,Completions!A:A,A295),"yyyy-mm-dd hh:mm"),"—"))</f>
        <v/>
      </c>
    </row>
    <row r="296" customFormat="false" ht="21.75" hidden="false" customHeight="true" outlineLevel="0" collapsed="false">
      <c r="A296" s="17" t="str">
        <f aca="false">IFERROR(IF(Members!A293="","",Members!A293),"")</f>
        <v/>
      </c>
      <c r="B296" s="17" t="str">
        <f aca="false">IFERROR(IF(Members!A293="","",Members!B293),"")</f>
        <v/>
      </c>
      <c r="C296" s="17" t="str">
        <f aca="false">IFERROR(IF(Members!A293="","",Members!C293),"")</f>
        <v/>
      </c>
      <c r="D296" s="17" t="str">
        <f aca="false">IFERROR(IF(Members!A293="","",Members!D293),"")</f>
        <v/>
      </c>
      <c r="E296" s="17" t="str">
        <f aca="false">IF(A296="","",COUNTIF(Completions!A:A,A296))</f>
        <v/>
      </c>
      <c r="F296" s="17" t="str">
        <f aca="false">IF(A296="","",SUMPRODUCT((Completions!A$2:A$5000=A296)*IFERROR(VLOOKUP(Completions!B$2:B$5000,$J$4:$K$18,2,FALSE()),0)))</f>
        <v/>
      </c>
      <c r="G296" s="17" t="str">
        <f aca="false">IF(A296="","",IF(F296&gt;=20,"Gold",IF(F296&gt;=14,"Silver",IF(F296&gt;=8,"Bronze","—"))))</f>
        <v/>
      </c>
      <c r="H296" s="17" t="str">
        <f aca="false">IF(A296="","",IFERROR(TEXT(maxifs(Completions!G:G,Completions!A:A,A296),"yyyy-mm-dd hh:mm"),"—"))</f>
        <v/>
      </c>
    </row>
    <row r="297" customFormat="false" ht="21.75" hidden="false" customHeight="true" outlineLevel="0" collapsed="false">
      <c r="A297" s="16" t="str">
        <f aca="false">IFERROR(IF(Members!A294="","",Members!A294),"")</f>
        <v/>
      </c>
      <c r="B297" s="16" t="str">
        <f aca="false">IFERROR(IF(Members!A294="","",Members!B294),"")</f>
        <v/>
      </c>
      <c r="C297" s="16" t="str">
        <f aca="false">IFERROR(IF(Members!A294="","",Members!C294),"")</f>
        <v/>
      </c>
      <c r="D297" s="16" t="str">
        <f aca="false">IFERROR(IF(Members!A294="","",Members!D294),"")</f>
        <v/>
      </c>
      <c r="E297" s="16" t="str">
        <f aca="false">IF(A297="","",COUNTIF(Completions!A:A,A297))</f>
        <v/>
      </c>
      <c r="F297" s="16" t="str">
        <f aca="false">IF(A297="","",SUMPRODUCT((Completions!A$2:A$5000=A297)*IFERROR(VLOOKUP(Completions!B$2:B$5000,$J$4:$K$18,2,FALSE()),0)))</f>
        <v/>
      </c>
      <c r="G297" s="16" t="str">
        <f aca="false">IF(A297="","",IF(F297&gt;=20,"Gold",IF(F297&gt;=14,"Silver",IF(F297&gt;=8,"Bronze","—"))))</f>
        <v/>
      </c>
      <c r="H297" s="16" t="str">
        <f aca="false">IF(A297="","",IFERROR(TEXT(maxifs(Completions!G:G,Completions!A:A,A297),"yyyy-mm-dd hh:mm"),"—"))</f>
        <v/>
      </c>
    </row>
    <row r="298" customFormat="false" ht="21.75" hidden="false" customHeight="true" outlineLevel="0" collapsed="false">
      <c r="A298" s="17" t="str">
        <f aca="false">IFERROR(IF(Members!A295="","",Members!A295),"")</f>
        <v/>
      </c>
      <c r="B298" s="17" t="str">
        <f aca="false">IFERROR(IF(Members!A295="","",Members!B295),"")</f>
        <v/>
      </c>
      <c r="C298" s="17" t="str">
        <f aca="false">IFERROR(IF(Members!A295="","",Members!C295),"")</f>
        <v/>
      </c>
      <c r="D298" s="17" t="str">
        <f aca="false">IFERROR(IF(Members!A295="","",Members!D295),"")</f>
        <v/>
      </c>
      <c r="E298" s="17" t="str">
        <f aca="false">IF(A298="","",COUNTIF(Completions!A:A,A298))</f>
        <v/>
      </c>
      <c r="F298" s="17" t="str">
        <f aca="false">IF(A298="","",SUMPRODUCT((Completions!A$2:A$5000=A298)*IFERROR(VLOOKUP(Completions!B$2:B$5000,$J$4:$K$18,2,FALSE()),0)))</f>
        <v/>
      </c>
      <c r="G298" s="17" t="str">
        <f aca="false">IF(A298="","",IF(F298&gt;=20,"Gold",IF(F298&gt;=14,"Silver",IF(F298&gt;=8,"Bronze","—"))))</f>
        <v/>
      </c>
      <c r="H298" s="17" t="str">
        <f aca="false">IF(A298="","",IFERROR(TEXT(maxifs(Completions!G:G,Completions!A:A,A298),"yyyy-mm-dd hh:mm"),"—"))</f>
        <v/>
      </c>
    </row>
    <row r="299" customFormat="false" ht="21.75" hidden="false" customHeight="true" outlineLevel="0" collapsed="false">
      <c r="A299" s="16" t="str">
        <f aca="false">IFERROR(IF(Members!A296="","",Members!A296),"")</f>
        <v/>
      </c>
      <c r="B299" s="16" t="str">
        <f aca="false">IFERROR(IF(Members!A296="","",Members!B296),"")</f>
        <v/>
      </c>
      <c r="C299" s="16" t="str">
        <f aca="false">IFERROR(IF(Members!A296="","",Members!C296),"")</f>
        <v/>
      </c>
      <c r="D299" s="16" t="str">
        <f aca="false">IFERROR(IF(Members!A296="","",Members!D296),"")</f>
        <v/>
      </c>
      <c r="E299" s="16" t="str">
        <f aca="false">IF(A299="","",COUNTIF(Completions!A:A,A299))</f>
        <v/>
      </c>
      <c r="F299" s="16" t="str">
        <f aca="false">IF(A299="","",SUMPRODUCT((Completions!A$2:A$5000=A299)*IFERROR(VLOOKUP(Completions!B$2:B$5000,$J$4:$K$18,2,FALSE()),0)))</f>
        <v/>
      </c>
      <c r="G299" s="16" t="str">
        <f aca="false">IF(A299="","",IF(F299&gt;=20,"Gold",IF(F299&gt;=14,"Silver",IF(F299&gt;=8,"Bronze","—"))))</f>
        <v/>
      </c>
      <c r="H299" s="16" t="str">
        <f aca="false">IF(A299="","",IFERROR(TEXT(maxifs(Completions!G:G,Completions!A:A,A299),"yyyy-mm-dd hh:mm"),"—"))</f>
        <v/>
      </c>
    </row>
    <row r="300" customFormat="false" ht="21.75" hidden="false" customHeight="true" outlineLevel="0" collapsed="false">
      <c r="A300" s="17" t="str">
        <f aca="false">IFERROR(IF(Members!A297="","",Members!A297),"")</f>
        <v/>
      </c>
      <c r="B300" s="17" t="str">
        <f aca="false">IFERROR(IF(Members!A297="","",Members!B297),"")</f>
        <v/>
      </c>
      <c r="C300" s="17" t="str">
        <f aca="false">IFERROR(IF(Members!A297="","",Members!C297),"")</f>
        <v/>
      </c>
      <c r="D300" s="17" t="str">
        <f aca="false">IFERROR(IF(Members!A297="","",Members!D297),"")</f>
        <v/>
      </c>
      <c r="E300" s="17" t="str">
        <f aca="false">IF(A300="","",COUNTIF(Completions!A:A,A300))</f>
        <v/>
      </c>
      <c r="F300" s="17" t="str">
        <f aca="false">IF(A300="","",SUMPRODUCT((Completions!A$2:A$5000=A300)*IFERROR(VLOOKUP(Completions!B$2:B$5000,$J$4:$K$18,2,FALSE()),0)))</f>
        <v/>
      </c>
      <c r="G300" s="17" t="str">
        <f aca="false">IF(A300="","",IF(F300&gt;=20,"Gold",IF(F300&gt;=14,"Silver",IF(F300&gt;=8,"Bronze","—"))))</f>
        <v/>
      </c>
      <c r="H300" s="17" t="str">
        <f aca="false">IF(A300="","",IFERROR(TEXT(maxifs(Completions!G:G,Completions!A:A,A300),"yyyy-mm-dd hh:mm"),"—"))</f>
        <v/>
      </c>
    </row>
    <row r="301" customFormat="false" ht="21.75" hidden="false" customHeight="true" outlineLevel="0" collapsed="false">
      <c r="A301" s="16" t="str">
        <f aca="false">IFERROR(IF(Members!A298="","",Members!A298),"")</f>
        <v/>
      </c>
      <c r="B301" s="16" t="str">
        <f aca="false">IFERROR(IF(Members!A298="","",Members!B298),"")</f>
        <v/>
      </c>
      <c r="C301" s="16" t="str">
        <f aca="false">IFERROR(IF(Members!A298="","",Members!C298),"")</f>
        <v/>
      </c>
      <c r="D301" s="16" t="str">
        <f aca="false">IFERROR(IF(Members!A298="","",Members!D298),"")</f>
        <v/>
      </c>
      <c r="E301" s="16" t="str">
        <f aca="false">IF(A301="","",COUNTIF(Completions!A:A,A301))</f>
        <v/>
      </c>
      <c r="F301" s="16" t="str">
        <f aca="false">IF(A301="","",SUMPRODUCT((Completions!A$2:A$5000=A301)*IFERROR(VLOOKUP(Completions!B$2:B$5000,$J$4:$K$18,2,FALSE()),0)))</f>
        <v/>
      </c>
      <c r="G301" s="16" t="str">
        <f aca="false">IF(A301="","",IF(F301&gt;=20,"Gold",IF(F301&gt;=14,"Silver",IF(F301&gt;=8,"Bronze","—"))))</f>
        <v/>
      </c>
      <c r="H301" s="16" t="str">
        <f aca="false">IF(A301="","",IFERROR(TEXT(maxifs(Completions!G:G,Completions!A:A,A301),"yyyy-mm-dd hh:mm"),"—"))</f>
        <v/>
      </c>
    </row>
    <row r="302" customFormat="false" ht="21.75" hidden="false" customHeight="true" outlineLevel="0" collapsed="false">
      <c r="A302" s="17" t="str">
        <f aca="false">IFERROR(IF(Members!A299="","",Members!A299),"")</f>
        <v/>
      </c>
      <c r="B302" s="17" t="str">
        <f aca="false">IFERROR(IF(Members!A299="","",Members!B299),"")</f>
        <v/>
      </c>
      <c r="C302" s="17" t="str">
        <f aca="false">IFERROR(IF(Members!A299="","",Members!C299),"")</f>
        <v/>
      </c>
      <c r="D302" s="17" t="str">
        <f aca="false">IFERROR(IF(Members!A299="","",Members!D299),"")</f>
        <v/>
      </c>
      <c r="E302" s="17" t="str">
        <f aca="false">IF(A302="","",COUNTIF(Completions!A:A,A302))</f>
        <v/>
      </c>
      <c r="F302" s="17" t="str">
        <f aca="false">IF(A302="","",SUMPRODUCT((Completions!A$2:A$5000=A302)*IFERROR(VLOOKUP(Completions!B$2:B$5000,$J$4:$K$18,2,FALSE()),0)))</f>
        <v/>
      </c>
      <c r="G302" s="17" t="str">
        <f aca="false">IF(A302="","",IF(F302&gt;=20,"Gold",IF(F302&gt;=14,"Silver",IF(F302&gt;=8,"Bronze","—"))))</f>
        <v/>
      </c>
      <c r="H302" s="17" t="str">
        <f aca="false">IF(A302="","",IFERROR(TEXT(maxifs(Completions!G:G,Completions!A:A,A302),"yyyy-mm-dd hh:mm"),"—"))</f>
        <v/>
      </c>
    </row>
    <row r="303" customFormat="false" ht="21.75" hidden="false" customHeight="true" outlineLevel="0" collapsed="false">
      <c r="A303" s="16" t="str">
        <f aca="false">IFERROR(IF(Members!A300="","",Members!A300),"")</f>
        <v/>
      </c>
      <c r="B303" s="16" t="str">
        <f aca="false">IFERROR(IF(Members!A300="","",Members!B300),"")</f>
        <v/>
      </c>
      <c r="C303" s="16" t="str">
        <f aca="false">IFERROR(IF(Members!A300="","",Members!C300),"")</f>
        <v/>
      </c>
      <c r="D303" s="16" t="str">
        <f aca="false">IFERROR(IF(Members!A300="","",Members!D300),"")</f>
        <v/>
      </c>
      <c r="E303" s="16" t="str">
        <f aca="false">IF(A303="","",COUNTIF(Completions!A:A,A303))</f>
        <v/>
      </c>
      <c r="F303" s="16" t="str">
        <f aca="false">IF(A303="","",SUMPRODUCT((Completions!A$2:A$5000=A303)*IFERROR(VLOOKUP(Completions!B$2:B$5000,$J$4:$K$18,2,FALSE()),0)))</f>
        <v/>
      </c>
      <c r="G303" s="16" t="str">
        <f aca="false">IF(A303="","",IF(F303&gt;=20,"Gold",IF(F303&gt;=14,"Silver",IF(F303&gt;=8,"Bronze","—"))))</f>
        <v/>
      </c>
      <c r="H303" s="16" t="str">
        <f aca="false">IF(A303="","",IFERROR(TEXT(maxifs(Completions!G:G,Completions!A:A,A303),"yyyy-mm-dd hh:mm"),"—"))</f>
        <v/>
      </c>
    </row>
    <row r="304" customFormat="false" ht="21.75" hidden="false" customHeight="true" outlineLevel="0" collapsed="false">
      <c r="A304" s="17" t="str">
        <f aca="false">IFERROR(IF(Members!A301="","",Members!A301),"")</f>
        <v/>
      </c>
      <c r="B304" s="17" t="str">
        <f aca="false">IFERROR(IF(Members!A301="","",Members!B301),"")</f>
        <v/>
      </c>
      <c r="C304" s="17" t="str">
        <f aca="false">IFERROR(IF(Members!A301="","",Members!C301),"")</f>
        <v/>
      </c>
      <c r="D304" s="17" t="str">
        <f aca="false">IFERROR(IF(Members!A301="","",Members!D301),"")</f>
        <v/>
      </c>
      <c r="E304" s="17" t="str">
        <f aca="false">IF(A304="","",COUNTIF(Completions!A:A,A304))</f>
        <v/>
      </c>
      <c r="F304" s="17" t="str">
        <f aca="false">IF(A304="","",SUMPRODUCT((Completions!A$2:A$5000=A304)*IFERROR(VLOOKUP(Completions!B$2:B$5000,$J$4:$K$18,2,FALSE()),0)))</f>
        <v/>
      </c>
      <c r="G304" s="17" t="str">
        <f aca="false">IF(A304="","",IF(F304&gt;=20,"Gold",IF(F304&gt;=14,"Silver",IF(F304&gt;=8,"Bronze","—"))))</f>
        <v/>
      </c>
      <c r="H304" s="17" t="str">
        <f aca="false">IF(A304="","",IFERROR(TEXT(maxifs(Completions!G:G,Completions!A:A,A304),"yyyy-mm-dd hh:mm"),"—"))</f>
        <v/>
      </c>
    </row>
    <row r="305" customFormat="false" ht="21.75" hidden="false" customHeight="true" outlineLevel="0" collapsed="false">
      <c r="A305" s="16" t="str">
        <f aca="false">IFERROR(IF(Members!A302="","",Members!A302),"")</f>
        <v/>
      </c>
      <c r="B305" s="16" t="str">
        <f aca="false">IFERROR(IF(Members!A302="","",Members!B302),"")</f>
        <v/>
      </c>
      <c r="C305" s="16" t="str">
        <f aca="false">IFERROR(IF(Members!A302="","",Members!C302),"")</f>
        <v/>
      </c>
      <c r="D305" s="16" t="str">
        <f aca="false">IFERROR(IF(Members!A302="","",Members!D302),"")</f>
        <v/>
      </c>
      <c r="E305" s="16" t="str">
        <f aca="false">IF(A305="","",COUNTIF(Completions!A:A,A305))</f>
        <v/>
      </c>
      <c r="F305" s="16" t="str">
        <f aca="false">IF(A305="","",SUMPRODUCT((Completions!A$2:A$5000=A305)*IFERROR(VLOOKUP(Completions!B$2:B$5000,$J$4:$K$18,2,FALSE()),0)))</f>
        <v/>
      </c>
      <c r="G305" s="16" t="str">
        <f aca="false">IF(A305="","",IF(F305&gt;=20,"Gold",IF(F305&gt;=14,"Silver",IF(F305&gt;=8,"Bronze","—"))))</f>
        <v/>
      </c>
      <c r="H305" s="16" t="str">
        <f aca="false">IF(A305="","",IFERROR(TEXT(maxifs(Completions!G:G,Completions!A:A,A305),"yyyy-mm-dd hh:mm"),"—"))</f>
        <v/>
      </c>
    </row>
    <row r="306" customFormat="false" ht="21.75" hidden="false" customHeight="true" outlineLevel="0" collapsed="false">
      <c r="A306" s="17" t="str">
        <f aca="false">IFERROR(IF(Members!A303="","",Members!A303),"")</f>
        <v/>
      </c>
      <c r="B306" s="17" t="str">
        <f aca="false">IFERROR(IF(Members!A303="","",Members!B303),"")</f>
        <v/>
      </c>
      <c r="C306" s="17" t="str">
        <f aca="false">IFERROR(IF(Members!A303="","",Members!C303),"")</f>
        <v/>
      </c>
      <c r="D306" s="17" t="str">
        <f aca="false">IFERROR(IF(Members!A303="","",Members!D303),"")</f>
        <v/>
      </c>
      <c r="E306" s="17" t="str">
        <f aca="false">IF(A306="","",COUNTIF(Completions!A:A,A306))</f>
        <v/>
      </c>
      <c r="F306" s="17" t="str">
        <f aca="false">IF(A306="","",SUMPRODUCT((Completions!A$2:A$5000=A306)*IFERROR(VLOOKUP(Completions!B$2:B$5000,$J$4:$K$18,2,FALSE()),0)))</f>
        <v/>
      </c>
      <c r="G306" s="17" t="str">
        <f aca="false">IF(A306="","",IF(F306&gt;=20,"Gold",IF(F306&gt;=14,"Silver",IF(F306&gt;=8,"Bronze","—"))))</f>
        <v/>
      </c>
      <c r="H306" s="17" t="str">
        <f aca="false">IF(A306="","",IFERROR(TEXT(maxifs(Completions!G:G,Completions!A:A,A306),"yyyy-mm-dd hh:mm"),"—"))</f>
        <v/>
      </c>
    </row>
    <row r="307" customFormat="false" ht="21.75" hidden="false" customHeight="true" outlineLevel="0" collapsed="false">
      <c r="A307" s="16" t="str">
        <f aca="false">IFERROR(IF(Members!A304="","",Members!A304),"")</f>
        <v/>
      </c>
      <c r="B307" s="16" t="str">
        <f aca="false">IFERROR(IF(Members!A304="","",Members!B304),"")</f>
        <v/>
      </c>
      <c r="C307" s="16" t="str">
        <f aca="false">IFERROR(IF(Members!A304="","",Members!C304),"")</f>
        <v/>
      </c>
      <c r="D307" s="16" t="str">
        <f aca="false">IFERROR(IF(Members!A304="","",Members!D304),"")</f>
        <v/>
      </c>
      <c r="E307" s="16" t="str">
        <f aca="false">IF(A307="","",COUNTIF(Completions!A:A,A307))</f>
        <v/>
      </c>
      <c r="F307" s="16" t="str">
        <f aca="false">IF(A307="","",SUMPRODUCT((Completions!A$2:A$5000=A307)*IFERROR(VLOOKUP(Completions!B$2:B$5000,$J$4:$K$18,2,FALSE()),0)))</f>
        <v/>
      </c>
      <c r="G307" s="16" t="str">
        <f aca="false">IF(A307="","",IF(F307&gt;=20,"Gold",IF(F307&gt;=14,"Silver",IF(F307&gt;=8,"Bronze","—"))))</f>
        <v/>
      </c>
      <c r="H307" s="16" t="str">
        <f aca="false">IF(A307="","",IFERROR(TEXT(maxifs(Completions!G:G,Completions!A:A,A307),"yyyy-mm-dd hh:mm"),"—"))</f>
        <v/>
      </c>
    </row>
    <row r="308" customFormat="false" ht="21.75" hidden="false" customHeight="true" outlineLevel="0" collapsed="false">
      <c r="A308" s="17" t="str">
        <f aca="false">IFERROR(IF(Members!A305="","",Members!A305),"")</f>
        <v/>
      </c>
      <c r="B308" s="17" t="str">
        <f aca="false">IFERROR(IF(Members!A305="","",Members!B305),"")</f>
        <v/>
      </c>
      <c r="C308" s="17" t="str">
        <f aca="false">IFERROR(IF(Members!A305="","",Members!C305),"")</f>
        <v/>
      </c>
      <c r="D308" s="17" t="str">
        <f aca="false">IFERROR(IF(Members!A305="","",Members!D305),"")</f>
        <v/>
      </c>
      <c r="E308" s="17" t="str">
        <f aca="false">IF(A308="","",COUNTIF(Completions!A:A,A308))</f>
        <v/>
      </c>
      <c r="F308" s="17" t="str">
        <f aca="false">IF(A308="","",SUMPRODUCT((Completions!A$2:A$5000=A308)*IFERROR(VLOOKUP(Completions!B$2:B$5000,$J$4:$K$18,2,FALSE()),0)))</f>
        <v/>
      </c>
      <c r="G308" s="17" t="str">
        <f aca="false">IF(A308="","",IF(F308&gt;=20,"Gold",IF(F308&gt;=14,"Silver",IF(F308&gt;=8,"Bronze","—"))))</f>
        <v/>
      </c>
      <c r="H308" s="17" t="str">
        <f aca="false">IF(A308="","",IFERROR(TEXT(maxifs(Completions!G:G,Completions!A:A,A308),"yyyy-mm-dd hh:mm"),"—"))</f>
        <v/>
      </c>
    </row>
    <row r="309" customFormat="false" ht="21.75" hidden="false" customHeight="true" outlineLevel="0" collapsed="false">
      <c r="A309" s="16" t="str">
        <f aca="false">IFERROR(IF(Members!A306="","",Members!A306),"")</f>
        <v/>
      </c>
      <c r="B309" s="16" t="str">
        <f aca="false">IFERROR(IF(Members!A306="","",Members!B306),"")</f>
        <v/>
      </c>
      <c r="C309" s="16" t="str">
        <f aca="false">IFERROR(IF(Members!A306="","",Members!C306),"")</f>
        <v/>
      </c>
      <c r="D309" s="16" t="str">
        <f aca="false">IFERROR(IF(Members!A306="","",Members!D306),"")</f>
        <v/>
      </c>
      <c r="E309" s="16" t="str">
        <f aca="false">IF(A309="","",COUNTIF(Completions!A:A,A309))</f>
        <v/>
      </c>
      <c r="F309" s="16" t="str">
        <f aca="false">IF(A309="","",SUMPRODUCT((Completions!A$2:A$5000=A309)*IFERROR(VLOOKUP(Completions!B$2:B$5000,$J$4:$K$18,2,FALSE()),0)))</f>
        <v/>
      </c>
      <c r="G309" s="16" t="str">
        <f aca="false">IF(A309="","",IF(F309&gt;=20,"Gold",IF(F309&gt;=14,"Silver",IF(F309&gt;=8,"Bronze","—"))))</f>
        <v/>
      </c>
      <c r="H309" s="16" t="str">
        <f aca="false">IF(A309="","",IFERROR(TEXT(maxifs(Completions!G:G,Completions!A:A,A309),"yyyy-mm-dd hh:mm"),"—"))</f>
        <v/>
      </c>
    </row>
    <row r="310" customFormat="false" ht="21.75" hidden="false" customHeight="true" outlineLevel="0" collapsed="false">
      <c r="A310" s="17" t="str">
        <f aca="false">IFERROR(IF(Members!A307="","",Members!A307),"")</f>
        <v/>
      </c>
      <c r="B310" s="17" t="str">
        <f aca="false">IFERROR(IF(Members!A307="","",Members!B307),"")</f>
        <v/>
      </c>
      <c r="C310" s="17" t="str">
        <f aca="false">IFERROR(IF(Members!A307="","",Members!C307),"")</f>
        <v/>
      </c>
      <c r="D310" s="17" t="str">
        <f aca="false">IFERROR(IF(Members!A307="","",Members!D307),"")</f>
        <v/>
      </c>
      <c r="E310" s="17" t="str">
        <f aca="false">IF(A310="","",COUNTIF(Completions!A:A,A310))</f>
        <v/>
      </c>
      <c r="F310" s="17" t="str">
        <f aca="false">IF(A310="","",SUMPRODUCT((Completions!A$2:A$5000=A310)*IFERROR(VLOOKUP(Completions!B$2:B$5000,$J$4:$K$18,2,FALSE()),0)))</f>
        <v/>
      </c>
      <c r="G310" s="17" t="str">
        <f aca="false">IF(A310="","",IF(F310&gt;=20,"Gold",IF(F310&gt;=14,"Silver",IF(F310&gt;=8,"Bronze","—"))))</f>
        <v/>
      </c>
      <c r="H310" s="17" t="str">
        <f aca="false">IF(A310="","",IFERROR(TEXT(maxifs(Completions!G:G,Completions!A:A,A310),"yyyy-mm-dd hh:mm"),"—"))</f>
        <v/>
      </c>
    </row>
    <row r="311" customFormat="false" ht="21.75" hidden="false" customHeight="true" outlineLevel="0" collapsed="false">
      <c r="A311" s="16" t="str">
        <f aca="false">IFERROR(IF(Members!A308="","",Members!A308),"")</f>
        <v/>
      </c>
      <c r="B311" s="16" t="str">
        <f aca="false">IFERROR(IF(Members!A308="","",Members!B308),"")</f>
        <v/>
      </c>
      <c r="C311" s="16" t="str">
        <f aca="false">IFERROR(IF(Members!A308="","",Members!C308),"")</f>
        <v/>
      </c>
      <c r="D311" s="16" t="str">
        <f aca="false">IFERROR(IF(Members!A308="","",Members!D308),"")</f>
        <v/>
      </c>
      <c r="E311" s="16" t="str">
        <f aca="false">IF(A311="","",COUNTIF(Completions!A:A,A311))</f>
        <v/>
      </c>
      <c r="F311" s="16" t="str">
        <f aca="false">IF(A311="","",SUMPRODUCT((Completions!A$2:A$5000=A311)*IFERROR(VLOOKUP(Completions!B$2:B$5000,$J$4:$K$18,2,FALSE()),0)))</f>
        <v/>
      </c>
      <c r="G311" s="16" t="str">
        <f aca="false">IF(A311="","",IF(F311&gt;=20,"Gold",IF(F311&gt;=14,"Silver",IF(F311&gt;=8,"Bronze","—"))))</f>
        <v/>
      </c>
      <c r="H311" s="16" t="str">
        <f aca="false">IF(A311="","",IFERROR(TEXT(maxifs(Completions!G:G,Completions!A:A,A311),"yyyy-mm-dd hh:mm"),"—"))</f>
        <v/>
      </c>
    </row>
    <row r="312" customFormat="false" ht="21.75" hidden="false" customHeight="true" outlineLevel="0" collapsed="false">
      <c r="A312" s="17" t="str">
        <f aca="false">IFERROR(IF(Members!A309="","",Members!A309),"")</f>
        <v/>
      </c>
      <c r="B312" s="17" t="str">
        <f aca="false">IFERROR(IF(Members!A309="","",Members!B309),"")</f>
        <v/>
      </c>
      <c r="C312" s="17" t="str">
        <f aca="false">IFERROR(IF(Members!A309="","",Members!C309),"")</f>
        <v/>
      </c>
      <c r="D312" s="17" t="str">
        <f aca="false">IFERROR(IF(Members!A309="","",Members!D309),"")</f>
        <v/>
      </c>
      <c r="E312" s="17" t="str">
        <f aca="false">IF(A312="","",COUNTIF(Completions!A:A,A312))</f>
        <v/>
      </c>
      <c r="F312" s="17" t="str">
        <f aca="false">IF(A312="","",SUMPRODUCT((Completions!A$2:A$5000=A312)*IFERROR(VLOOKUP(Completions!B$2:B$5000,$J$4:$K$18,2,FALSE()),0)))</f>
        <v/>
      </c>
      <c r="G312" s="17" t="str">
        <f aca="false">IF(A312="","",IF(F312&gt;=20,"Gold",IF(F312&gt;=14,"Silver",IF(F312&gt;=8,"Bronze","—"))))</f>
        <v/>
      </c>
      <c r="H312" s="17" t="str">
        <f aca="false">IF(A312="","",IFERROR(TEXT(maxifs(Completions!G:G,Completions!A:A,A312),"yyyy-mm-dd hh:mm"),"—"))</f>
        <v/>
      </c>
    </row>
    <row r="313" customFormat="false" ht="21.75" hidden="false" customHeight="true" outlineLevel="0" collapsed="false">
      <c r="A313" s="16" t="str">
        <f aca="false">IFERROR(IF(Members!A310="","",Members!A310),"")</f>
        <v/>
      </c>
      <c r="B313" s="16" t="str">
        <f aca="false">IFERROR(IF(Members!A310="","",Members!B310),"")</f>
        <v/>
      </c>
      <c r="C313" s="16" t="str">
        <f aca="false">IFERROR(IF(Members!A310="","",Members!C310),"")</f>
        <v/>
      </c>
      <c r="D313" s="16" t="str">
        <f aca="false">IFERROR(IF(Members!A310="","",Members!D310),"")</f>
        <v/>
      </c>
      <c r="E313" s="16" t="str">
        <f aca="false">IF(A313="","",COUNTIF(Completions!A:A,A313))</f>
        <v/>
      </c>
      <c r="F313" s="16" t="str">
        <f aca="false">IF(A313="","",SUMPRODUCT((Completions!A$2:A$5000=A313)*IFERROR(VLOOKUP(Completions!B$2:B$5000,$J$4:$K$18,2,FALSE()),0)))</f>
        <v/>
      </c>
      <c r="G313" s="16" t="str">
        <f aca="false">IF(A313="","",IF(F313&gt;=20,"Gold",IF(F313&gt;=14,"Silver",IF(F313&gt;=8,"Bronze","—"))))</f>
        <v/>
      </c>
      <c r="H313" s="16" t="str">
        <f aca="false">IF(A313="","",IFERROR(TEXT(maxifs(Completions!G:G,Completions!A:A,A313),"yyyy-mm-dd hh:mm"),"—"))</f>
        <v/>
      </c>
    </row>
    <row r="314" customFormat="false" ht="21.75" hidden="false" customHeight="true" outlineLevel="0" collapsed="false">
      <c r="A314" s="17" t="str">
        <f aca="false">IFERROR(IF(Members!A311="","",Members!A311),"")</f>
        <v/>
      </c>
      <c r="B314" s="17" t="str">
        <f aca="false">IFERROR(IF(Members!A311="","",Members!B311),"")</f>
        <v/>
      </c>
      <c r="C314" s="17" t="str">
        <f aca="false">IFERROR(IF(Members!A311="","",Members!C311),"")</f>
        <v/>
      </c>
      <c r="D314" s="17" t="str">
        <f aca="false">IFERROR(IF(Members!A311="","",Members!D311),"")</f>
        <v/>
      </c>
      <c r="E314" s="17" t="str">
        <f aca="false">IF(A314="","",COUNTIF(Completions!A:A,A314))</f>
        <v/>
      </c>
      <c r="F314" s="17" t="str">
        <f aca="false">IF(A314="","",SUMPRODUCT((Completions!A$2:A$5000=A314)*IFERROR(VLOOKUP(Completions!B$2:B$5000,$J$4:$K$18,2,FALSE()),0)))</f>
        <v/>
      </c>
      <c r="G314" s="17" t="str">
        <f aca="false">IF(A314="","",IF(F314&gt;=20,"Gold",IF(F314&gt;=14,"Silver",IF(F314&gt;=8,"Bronze","—"))))</f>
        <v/>
      </c>
      <c r="H314" s="17" t="str">
        <f aca="false">IF(A314="","",IFERROR(TEXT(maxifs(Completions!G:G,Completions!A:A,A314),"yyyy-mm-dd hh:mm"),"—"))</f>
        <v/>
      </c>
    </row>
    <row r="315" customFormat="false" ht="21.75" hidden="false" customHeight="true" outlineLevel="0" collapsed="false">
      <c r="A315" s="16" t="str">
        <f aca="false">IFERROR(IF(Members!A312="","",Members!A312),"")</f>
        <v/>
      </c>
      <c r="B315" s="16" t="str">
        <f aca="false">IFERROR(IF(Members!A312="","",Members!B312),"")</f>
        <v/>
      </c>
      <c r="C315" s="16" t="str">
        <f aca="false">IFERROR(IF(Members!A312="","",Members!C312),"")</f>
        <v/>
      </c>
      <c r="D315" s="16" t="str">
        <f aca="false">IFERROR(IF(Members!A312="","",Members!D312),"")</f>
        <v/>
      </c>
      <c r="E315" s="16" t="str">
        <f aca="false">IF(A315="","",COUNTIF(Completions!A:A,A315))</f>
        <v/>
      </c>
      <c r="F315" s="16" t="str">
        <f aca="false">IF(A315="","",SUMPRODUCT((Completions!A$2:A$5000=A315)*IFERROR(VLOOKUP(Completions!B$2:B$5000,$J$4:$K$18,2,FALSE()),0)))</f>
        <v/>
      </c>
      <c r="G315" s="16" t="str">
        <f aca="false">IF(A315="","",IF(F315&gt;=20,"Gold",IF(F315&gt;=14,"Silver",IF(F315&gt;=8,"Bronze","—"))))</f>
        <v/>
      </c>
      <c r="H315" s="16" t="str">
        <f aca="false">IF(A315="","",IFERROR(TEXT(maxifs(Completions!G:G,Completions!A:A,A315),"yyyy-mm-dd hh:mm"),"—"))</f>
        <v/>
      </c>
    </row>
    <row r="316" customFormat="false" ht="21.75" hidden="false" customHeight="true" outlineLevel="0" collapsed="false">
      <c r="A316" s="17" t="str">
        <f aca="false">IFERROR(IF(Members!A313="","",Members!A313),"")</f>
        <v/>
      </c>
      <c r="B316" s="17" t="str">
        <f aca="false">IFERROR(IF(Members!A313="","",Members!B313),"")</f>
        <v/>
      </c>
      <c r="C316" s="17" t="str">
        <f aca="false">IFERROR(IF(Members!A313="","",Members!C313),"")</f>
        <v/>
      </c>
      <c r="D316" s="17" t="str">
        <f aca="false">IFERROR(IF(Members!A313="","",Members!D313),"")</f>
        <v/>
      </c>
      <c r="E316" s="17" t="str">
        <f aca="false">IF(A316="","",COUNTIF(Completions!A:A,A316))</f>
        <v/>
      </c>
      <c r="F316" s="17" t="str">
        <f aca="false">IF(A316="","",SUMPRODUCT((Completions!A$2:A$5000=A316)*IFERROR(VLOOKUP(Completions!B$2:B$5000,$J$4:$K$18,2,FALSE()),0)))</f>
        <v/>
      </c>
      <c r="G316" s="17" t="str">
        <f aca="false">IF(A316="","",IF(F316&gt;=20,"Gold",IF(F316&gt;=14,"Silver",IF(F316&gt;=8,"Bronze","—"))))</f>
        <v/>
      </c>
      <c r="H316" s="17" t="str">
        <f aca="false">IF(A316="","",IFERROR(TEXT(maxifs(Completions!G:G,Completions!A:A,A316),"yyyy-mm-dd hh:mm"),"—"))</f>
        <v/>
      </c>
    </row>
    <row r="317" customFormat="false" ht="21.75" hidden="false" customHeight="true" outlineLevel="0" collapsed="false">
      <c r="A317" s="16" t="str">
        <f aca="false">IFERROR(IF(Members!A314="","",Members!A314),"")</f>
        <v/>
      </c>
      <c r="B317" s="16" t="str">
        <f aca="false">IFERROR(IF(Members!A314="","",Members!B314),"")</f>
        <v/>
      </c>
      <c r="C317" s="16" t="str">
        <f aca="false">IFERROR(IF(Members!A314="","",Members!C314),"")</f>
        <v/>
      </c>
      <c r="D317" s="16" t="str">
        <f aca="false">IFERROR(IF(Members!A314="","",Members!D314),"")</f>
        <v/>
      </c>
      <c r="E317" s="16" t="str">
        <f aca="false">IF(A317="","",COUNTIF(Completions!A:A,A317))</f>
        <v/>
      </c>
      <c r="F317" s="16" t="str">
        <f aca="false">IF(A317="","",SUMPRODUCT((Completions!A$2:A$5000=A317)*IFERROR(VLOOKUP(Completions!B$2:B$5000,$J$4:$K$18,2,FALSE()),0)))</f>
        <v/>
      </c>
      <c r="G317" s="16" t="str">
        <f aca="false">IF(A317="","",IF(F317&gt;=20,"Gold",IF(F317&gt;=14,"Silver",IF(F317&gt;=8,"Bronze","—"))))</f>
        <v/>
      </c>
      <c r="H317" s="16" t="str">
        <f aca="false">IF(A317="","",IFERROR(TEXT(maxifs(Completions!G:G,Completions!A:A,A317),"yyyy-mm-dd hh:mm"),"—"))</f>
        <v/>
      </c>
    </row>
    <row r="318" customFormat="false" ht="21.75" hidden="false" customHeight="true" outlineLevel="0" collapsed="false">
      <c r="A318" s="17" t="str">
        <f aca="false">IFERROR(IF(Members!A315="","",Members!A315),"")</f>
        <v/>
      </c>
      <c r="B318" s="17" t="str">
        <f aca="false">IFERROR(IF(Members!A315="","",Members!B315),"")</f>
        <v/>
      </c>
      <c r="C318" s="17" t="str">
        <f aca="false">IFERROR(IF(Members!A315="","",Members!C315),"")</f>
        <v/>
      </c>
      <c r="D318" s="17" t="str">
        <f aca="false">IFERROR(IF(Members!A315="","",Members!D315),"")</f>
        <v/>
      </c>
      <c r="E318" s="17" t="str">
        <f aca="false">IF(A318="","",COUNTIF(Completions!A:A,A318))</f>
        <v/>
      </c>
      <c r="F318" s="17" t="str">
        <f aca="false">IF(A318="","",SUMPRODUCT((Completions!A$2:A$5000=A318)*IFERROR(VLOOKUP(Completions!B$2:B$5000,$J$4:$K$18,2,FALSE()),0)))</f>
        <v/>
      </c>
      <c r="G318" s="17" t="str">
        <f aca="false">IF(A318="","",IF(F318&gt;=20,"Gold",IF(F318&gt;=14,"Silver",IF(F318&gt;=8,"Bronze","—"))))</f>
        <v/>
      </c>
      <c r="H318" s="17" t="str">
        <f aca="false">IF(A318="","",IFERROR(TEXT(maxifs(Completions!G:G,Completions!A:A,A318),"yyyy-mm-dd hh:mm"),"—"))</f>
        <v/>
      </c>
    </row>
    <row r="319" customFormat="false" ht="21.75" hidden="false" customHeight="true" outlineLevel="0" collapsed="false">
      <c r="A319" s="16" t="str">
        <f aca="false">IFERROR(IF(Members!A316="","",Members!A316),"")</f>
        <v/>
      </c>
      <c r="B319" s="16" t="str">
        <f aca="false">IFERROR(IF(Members!A316="","",Members!B316),"")</f>
        <v/>
      </c>
      <c r="C319" s="16" t="str">
        <f aca="false">IFERROR(IF(Members!A316="","",Members!C316),"")</f>
        <v/>
      </c>
      <c r="D319" s="16" t="str">
        <f aca="false">IFERROR(IF(Members!A316="","",Members!D316),"")</f>
        <v/>
      </c>
      <c r="E319" s="16" t="str">
        <f aca="false">IF(A319="","",COUNTIF(Completions!A:A,A319))</f>
        <v/>
      </c>
      <c r="F319" s="16" t="str">
        <f aca="false">IF(A319="","",SUMPRODUCT((Completions!A$2:A$5000=A319)*IFERROR(VLOOKUP(Completions!B$2:B$5000,$J$4:$K$18,2,FALSE()),0)))</f>
        <v/>
      </c>
      <c r="G319" s="16" t="str">
        <f aca="false">IF(A319="","",IF(F319&gt;=20,"Gold",IF(F319&gt;=14,"Silver",IF(F319&gt;=8,"Bronze","—"))))</f>
        <v/>
      </c>
      <c r="H319" s="16" t="str">
        <f aca="false">IF(A319="","",IFERROR(TEXT(maxifs(Completions!G:G,Completions!A:A,A319),"yyyy-mm-dd hh:mm"),"—"))</f>
        <v/>
      </c>
    </row>
    <row r="320" customFormat="false" ht="21.75" hidden="false" customHeight="true" outlineLevel="0" collapsed="false">
      <c r="A320" s="17" t="str">
        <f aca="false">IFERROR(IF(Members!A317="","",Members!A317),"")</f>
        <v/>
      </c>
      <c r="B320" s="17" t="str">
        <f aca="false">IFERROR(IF(Members!A317="","",Members!B317),"")</f>
        <v/>
      </c>
      <c r="C320" s="17" t="str">
        <f aca="false">IFERROR(IF(Members!A317="","",Members!C317),"")</f>
        <v/>
      </c>
      <c r="D320" s="17" t="str">
        <f aca="false">IFERROR(IF(Members!A317="","",Members!D317),"")</f>
        <v/>
      </c>
      <c r="E320" s="17" t="str">
        <f aca="false">IF(A320="","",COUNTIF(Completions!A:A,A320))</f>
        <v/>
      </c>
      <c r="F320" s="17" t="str">
        <f aca="false">IF(A320="","",SUMPRODUCT((Completions!A$2:A$5000=A320)*IFERROR(VLOOKUP(Completions!B$2:B$5000,$J$4:$K$18,2,FALSE()),0)))</f>
        <v/>
      </c>
      <c r="G320" s="17" t="str">
        <f aca="false">IF(A320="","",IF(F320&gt;=20,"Gold",IF(F320&gt;=14,"Silver",IF(F320&gt;=8,"Bronze","—"))))</f>
        <v/>
      </c>
      <c r="H320" s="17" t="str">
        <f aca="false">IF(A320="","",IFERROR(TEXT(maxifs(Completions!G:G,Completions!A:A,A320),"yyyy-mm-dd hh:mm"),"—"))</f>
        <v/>
      </c>
    </row>
    <row r="321" customFormat="false" ht="21.75" hidden="false" customHeight="true" outlineLevel="0" collapsed="false">
      <c r="A321" s="16" t="str">
        <f aca="false">IFERROR(IF(Members!A318="","",Members!A318),"")</f>
        <v/>
      </c>
      <c r="B321" s="16" t="str">
        <f aca="false">IFERROR(IF(Members!A318="","",Members!B318),"")</f>
        <v/>
      </c>
      <c r="C321" s="16" t="str">
        <f aca="false">IFERROR(IF(Members!A318="","",Members!C318),"")</f>
        <v/>
      </c>
      <c r="D321" s="16" t="str">
        <f aca="false">IFERROR(IF(Members!A318="","",Members!D318),"")</f>
        <v/>
      </c>
      <c r="E321" s="16" t="str">
        <f aca="false">IF(A321="","",COUNTIF(Completions!A:A,A321))</f>
        <v/>
      </c>
      <c r="F321" s="16" t="str">
        <f aca="false">IF(A321="","",SUMPRODUCT((Completions!A$2:A$5000=A321)*IFERROR(VLOOKUP(Completions!B$2:B$5000,$J$4:$K$18,2,FALSE()),0)))</f>
        <v/>
      </c>
      <c r="G321" s="16" t="str">
        <f aca="false">IF(A321="","",IF(F321&gt;=20,"Gold",IF(F321&gt;=14,"Silver",IF(F321&gt;=8,"Bronze","—"))))</f>
        <v/>
      </c>
      <c r="H321" s="16" t="str">
        <f aca="false">IF(A321="","",IFERROR(TEXT(maxifs(Completions!G:G,Completions!A:A,A321),"yyyy-mm-dd hh:mm"),"—"))</f>
        <v/>
      </c>
    </row>
    <row r="322" customFormat="false" ht="21.75" hidden="false" customHeight="true" outlineLevel="0" collapsed="false">
      <c r="A322" s="17" t="str">
        <f aca="false">IFERROR(IF(Members!A319="","",Members!A319),"")</f>
        <v/>
      </c>
      <c r="B322" s="17" t="str">
        <f aca="false">IFERROR(IF(Members!A319="","",Members!B319),"")</f>
        <v/>
      </c>
      <c r="C322" s="17" t="str">
        <f aca="false">IFERROR(IF(Members!A319="","",Members!C319),"")</f>
        <v/>
      </c>
      <c r="D322" s="17" t="str">
        <f aca="false">IFERROR(IF(Members!A319="","",Members!D319),"")</f>
        <v/>
      </c>
      <c r="E322" s="17" t="str">
        <f aca="false">IF(A322="","",COUNTIF(Completions!A:A,A322))</f>
        <v/>
      </c>
      <c r="F322" s="17" t="str">
        <f aca="false">IF(A322="","",SUMPRODUCT((Completions!A$2:A$5000=A322)*IFERROR(VLOOKUP(Completions!B$2:B$5000,$J$4:$K$18,2,FALSE()),0)))</f>
        <v/>
      </c>
      <c r="G322" s="17" t="str">
        <f aca="false">IF(A322="","",IF(F322&gt;=20,"Gold",IF(F322&gt;=14,"Silver",IF(F322&gt;=8,"Bronze","—"))))</f>
        <v/>
      </c>
      <c r="H322" s="17" t="str">
        <f aca="false">IF(A322="","",IFERROR(TEXT(maxifs(Completions!G:G,Completions!A:A,A322),"yyyy-mm-dd hh:mm"),"—"))</f>
        <v/>
      </c>
    </row>
    <row r="323" customFormat="false" ht="21.75" hidden="false" customHeight="true" outlineLevel="0" collapsed="false">
      <c r="A323" s="16" t="str">
        <f aca="false">IFERROR(IF(Members!A320="","",Members!A320),"")</f>
        <v/>
      </c>
      <c r="B323" s="16" t="str">
        <f aca="false">IFERROR(IF(Members!A320="","",Members!B320),"")</f>
        <v/>
      </c>
      <c r="C323" s="16" t="str">
        <f aca="false">IFERROR(IF(Members!A320="","",Members!C320),"")</f>
        <v/>
      </c>
      <c r="D323" s="16" t="str">
        <f aca="false">IFERROR(IF(Members!A320="","",Members!D320),"")</f>
        <v/>
      </c>
      <c r="E323" s="16" t="str">
        <f aca="false">IF(A323="","",COUNTIF(Completions!A:A,A323))</f>
        <v/>
      </c>
      <c r="F323" s="16" t="str">
        <f aca="false">IF(A323="","",SUMPRODUCT((Completions!A$2:A$5000=A323)*IFERROR(VLOOKUP(Completions!B$2:B$5000,$J$4:$K$18,2,FALSE()),0)))</f>
        <v/>
      </c>
      <c r="G323" s="16" t="str">
        <f aca="false">IF(A323="","",IF(F323&gt;=20,"Gold",IF(F323&gt;=14,"Silver",IF(F323&gt;=8,"Bronze","—"))))</f>
        <v/>
      </c>
      <c r="H323" s="16" t="str">
        <f aca="false">IF(A323="","",IFERROR(TEXT(maxifs(Completions!G:G,Completions!A:A,A323),"yyyy-mm-dd hh:mm"),"—"))</f>
        <v/>
      </c>
    </row>
    <row r="324" customFormat="false" ht="21.75" hidden="false" customHeight="true" outlineLevel="0" collapsed="false">
      <c r="A324" s="17" t="str">
        <f aca="false">IFERROR(IF(Members!A321="","",Members!A321),"")</f>
        <v/>
      </c>
      <c r="B324" s="17" t="str">
        <f aca="false">IFERROR(IF(Members!A321="","",Members!B321),"")</f>
        <v/>
      </c>
      <c r="C324" s="17" t="str">
        <f aca="false">IFERROR(IF(Members!A321="","",Members!C321),"")</f>
        <v/>
      </c>
      <c r="D324" s="17" t="str">
        <f aca="false">IFERROR(IF(Members!A321="","",Members!D321),"")</f>
        <v/>
      </c>
      <c r="E324" s="17" t="str">
        <f aca="false">IF(A324="","",COUNTIF(Completions!A:A,A324))</f>
        <v/>
      </c>
      <c r="F324" s="17" t="str">
        <f aca="false">IF(A324="","",SUMPRODUCT((Completions!A$2:A$5000=A324)*IFERROR(VLOOKUP(Completions!B$2:B$5000,$J$4:$K$18,2,FALSE()),0)))</f>
        <v/>
      </c>
      <c r="G324" s="17" t="str">
        <f aca="false">IF(A324="","",IF(F324&gt;=20,"Gold",IF(F324&gt;=14,"Silver",IF(F324&gt;=8,"Bronze","—"))))</f>
        <v/>
      </c>
      <c r="H324" s="17" t="str">
        <f aca="false">IF(A324="","",IFERROR(TEXT(maxifs(Completions!G:G,Completions!A:A,A324),"yyyy-mm-dd hh:mm"),"—"))</f>
        <v/>
      </c>
    </row>
    <row r="325" customFormat="false" ht="21.75" hidden="false" customHeight="true" outlineLevel="0" collapsed="false">
      <c r="A325" s="16" t="str">
        <f aca="false">IFERROR(IF(Members!A322="","",Members!A322),"")</f>
        <v/>
      </c>
      <c r="B325" s="16" t="str">
        <f aca="false">IFERROR(IF(Members!A322="","",Members!B322),"")</f>
        <v/>
      </c>
      <c r="C325" s="16" t="str">
        <f aca="false">IFERROR(IF(Members!A322="","",Members!C322),"")</f>
        <v/>
      </c>
      <c r="D325" s="16" t="str">
        <f aca="false">IFERROR(IF(Members!A322="","",Members!D322),"")</f>
        <v/>
      </c>
      <c r="E325" s="16" t="str">
        <f aca="false">IF(A325="","",COUNTIF(Completions!A:A,A325))</f>
        <v/>
      </c>
      <c r="F325" s="16" t="str">
        <f aca="false">IF(A325="","",SUMPRODUCT((Completions!A$2:A$5000=A325)*IFERROR(VLOOKUP(Completions!B$2:B$5000,$J$4:$K$18,2,FALSE()),0)))</f>
        <v/>
      </c>
      <c r="G325" s="16" t="str">
        <f aca="false">IF(A325="","",IF(F325&gt;=20,"Gold",IF(F325&gt;=14,"Silver",IF(F325&gt;=8,"Bronze","—"))))</f>
        <v/>
      </c>
      <c r="H325" s="16" t="str">
        <f aca="false">IF(A325="","",IFERROR(TEXT(maxifs(Completions!G:G,Completions!A:A,A325),"yyyy-mm-dd hh:mm"),"—"))</f>
        <v/>
      </c>
    </row>
    <row r="326" customFormat="false" ht="21.75" hidden="false" customHeight="true" outlineLevel="0" collapsed="false">
      <c r="A326" s="17" t="str">
        <f aca="false">IFERROR(IF(Members!A323="","",Members!A323),"")</f>
        <v/>
      </c>
      <c r="B326" s="17" t="str">
        <f aca="false">IFERROR(IF(Members!A323="","",Members!B323),"")</f>
        <v/>
      </c>
      <c r="C326" s="17" t="str">
        <f aca="false">IFERROR(IF(Members!A323="","",Members!C323),"")</f>
        <v/>
      </c>
      <c r="D326" s="17" t="str">
        <f aca="false">IFERROR(IF(Members!A323="","",Members!D323),"")</f>
        <v/>
      </c>
      <c r="E326" s="17" t="str">
        <f aca="false">IF(A326="","",COUNTIF(Completions!A:A,A326))</f>
        <v/>
      </c>
      <c r="F326" s="17" t="str">
        <f aca="false">IF(A326="","",SUMPRODUCT((Completions!A$2:A$5000=A326)*IFERROR(VLOOKUP(Completions!B$2:B$5000,$J$4:$K$18,2,FALSE()),0)))</f>
        <v/>
      </c>
      <c r="G326" s="17" t="str">
        <f aca="false">IF(A326="","",IF(F326&gt;=20,"Gold",IF(F326&gt;=14,"Silver",IF(F326&gt;=8,"Bronze","—"))))</f>
        <v/>
      </c>
      <c r="H326" s="17" t="str">
        <f aca="false">IF(A326="","",IFERROR(TEXT(maxifs(Completions!G:G,Completions!A:A,A326),"yyyy-mm-dd hh:mm"),"—"))</f>
        <v/>
      </c>
    </row>
    <row r="327" customFormat="false" ht="21.75" hidden="false" customHeight="true" outlineLevel="0" collapsed="false">
      <c r="A327" s="16" t="str">
        <f aca="false">IFERROR(IF(Members!A324="","",Members!A324),"")</f>
        <v/>
      </c>
      <c r="B327" s="16" t="str">
        <f aca="false">IFERROR(IF(Members!A324="","",Members!B324),"")</f>
        <v/>
      </c>
      <c r="C327" s="16" t="str">
        <f aca="false">IFERROR(IF(Members!A324="","",Members!C324),"")</f>
        <v/>
      </c>
      <c r="D327" s="16" t="str">
        <f aca="false">IFERROR(IF(Members!A324="","",Members!D324),"")</f>
        <v/>
      </c>
      <c r="E327" s="16" t="str">
        <f aca="false">IF(A327="","",COUNTIF(Completions!A:A,A327))</f>
        <v/>
      </c>
      <c r="F327" s="16" t="str">
        <f aca="false">IF(A327="","",SUMPRODUCT((Completions!A$2:A$5000=A327)*IFERROR(VLOOKUP(Completions!B$2:B$5000,$J$4:$K$18,2,FALSE()),0)))</f>
        <v/>
      </c>
      <c r="G327" s="16" t="str">
        <f aca="false">IF(A327="","",IF(F327&gt;=20,"Gold",IF(F327&gt;=14,"Silver",IF(F327&gt;=8,"Bronze","—"))))</f>
        <v/>
      </c>
      <c r="H327" s="16" t="str">
        <f aca="false">IF(A327="","",IFERROR(TEXT(maxifs(Completions!G:G,Completions!A:A,A327),"yyyy-mm-dd hh:mm"),"—"))</f>
        <v/>
      </c>
    </row>
    <row r="328" customFormat="false" ht="21.75" hidden="false" customHeight="true" outlineLevel="0" collapsed="false">
      <c r="A328" s="17" t="str">
        <f aca="false">IFERROR(IF(Members!A325="","",Members!A325),"")</f>
        <v/>
      </c>
      <c r="B328" s="17" t="str">
        <f aca="false">IFERROR(IF(Members!A325="","",Members!B325),"")</f>
        <v/>
      </c>
      <c r="C328" s="17" t="str">
        <f aca="false">IFERROR(IF(Members!A325="","",Members!C325),"")</f>
        <v/>
      </c>
      <c r="D328" s="17" t="str">
        <f aca="false">IFERROR(IF(Members!A325="","",Members!D325),"")</f>
        <v/>
      </c>
      <c r="E328" s="17" t="str">
        <f aca="false">IF(A328="","",COUNTIF(Completions!A:A,A328))</f>
        <v/>
      </c>
      <c r="F328" s="17" t="str">
        <f aca="false">IF(A328="","",SUMPRODUCT((Completions!A$2:A$5000=A328)*IFERROR(VLOOKUP(Completions!B$2:B$5000,$J$4:$K$18,2,FALSE()),0)))</f>
        <v/>
      </c>
      <c r="G328" s="17" t="str">
        <f aca="false">IF(A328="","",IF(F328&gt;=20,"Gold",IF(F328&gt;=14,"Silver",IF(F328&gt;=8,"Bronze","—"))))</f>
        <v/>
      </c>
      <c r="H328" s="17" t="str">
        <f aca="false">IF(A328="","",IFERROR(TEXT(maxifs(Completions!G:G,Completions!A:A,A328),"yyyy-mm-dd hh:mm"),"—"))</f>
        <v/>
      </c>
    </row>
    <row r="329" customFormat="false" ht="21.75" hidden="false" customHeight="true" outlineLevel="0" collapsed="false">
      <c r="A329" s="16" t="str">
        <f aca="false">IFERROR(IF(Members!A326="","",Members!A326),"")</f>
        <v/>
      </c>
      <c r="B329" s="16" t="str">
        <f aca="false">IFERROR(IF(Members!A326="","",Members!B326),"")</f>
        <v/>
      </c>
      <c r="C329" s="16" t="str">
        <f aca="false">IFERROR(IF(Members!A326="","",Members!C326),"")</f>
        <v/>
      </c>
      <c r="D329" s="16" t="str">
        <f aca="false">IFERROR(IF(Members!A326="","",Members!D326),"")</f>
        <v/>
      </c>
      <c r="E329" s="16" t="str">
        <f aca="false">IF(A329="","",COUNTIF(Completions!A:A,A329))</f>
        <v/>
      </c>
      <c r="F329" s="16" t="str">
        <f aca="false">IF(A329="","",SUMPRODUCT((Completions!A$2:A$5000=A329)*IFERROR(VLOOKUP(Completions!B$2:B$5000,$J$4:$K$18,2,FALSE()),0)))</f>
        <v/>
      </c>
      <c r="G329" s="16" t="str">
        <f aca="false">IF(A329="","",IF(F329&gt;=20,"Gold",IF(F329&gt;=14,"Silver",IF(F329&gt;=8,"Bronze","—"))))</f>
        <v/>
      </c>
      <c r="H329" s="16" t="str">
        <f aca="false">IF(A329="","",IFERROR(TEXT(maxifs(Completions!G:G,Completions!A:A,A329),"yyyy-mm-dd hh:mm"),"—"))</f>
        <v/>
      </c>
    </row>
    <row r="330" customFormat="false" ht="21.75" hidden="false" customHeight="true" outlineLevel="0" collapsed="false">
      <c r="A330" s="17" t="str">
        <f aca="false">IFERROR(IF(Members!A327="","",Members!A327),"")</f>
        <v/>
      </c>
      <c r="B330" s="17" t="str">
        <f aca="false">IFERROR(IF(Members!A327="","",Members!B327),"")</f>
        <v/>
      </c>
      <c r="C330" s="17" t="str">
        <f aca="false">IFERROR(IF(Members!A327="","",Members!C327),"")</f>
        <v/>
      </c>
      <c r="D330" s="17" t="str">
        <f aca="false">IFERROR(IF(Members!A327="","",Members!D327),"")</f>
        <v/>
      </c>
      <c r="E330" s="17" t="str">
        <f aca="false">IF(A330="","",COUNTIF(Completions!A:A,A330))</f>
        <v/>
      </c>
      <c r="F330" s="17" t="str">
        <f aca="false">IF(A330="","",SUMPRODUCT((Completions!A$2:A$5000=A330)*IFERROR(VLOOKUP(Completions!B$2:B$5000,$J$4:$K$18,2,FALSE()),0)))</f>
        <v/>
      </c>
      <c r="G330" s="17" t="str">
        <f aca="false">IF(A330="","",IF(F330&gt;=20,"Gold",IF(F330&gt;=14,"Silver",IF(F330&gt;=8,"Bronze","—"))))</f>
        <v/>
      </c>
      <c r="H330" s="17" t="str">
        <f aca="false">IF(A330="","",IFERROR(TEXT(maxifs(Completions!G:G,Completions!A:A,A330),"yyyy-mm-dd hh:mm"),"—"))</f>
        <v/>
      </c>
    </row>
    <row r="331" customFormat="false" ht="21.75" hidden="false" customHeight="true" outlineLevel="0" collapsed="false">
      <c r="A331" s="16" t="str">
        <f aca="false">IFERROR(IF(Members!A328="","",Members!A328),"")</f>
        <v/>
      </c>
      <c r="B331" s="16" t="str">
        <f aca="false">IFERROR(IF(Members!A328="","",Members!B328),"")</f>
        <v/>
      </c>
      <c r="C331" s="16" t="str">
        <f aca="false">IFERROR(IF(Members!A328="","",Members!C328),"")</f>
        <v/>
      </c>
      <c r="D331" s="16" t="str">
        <f aca="false">IFERROR(IF(Members!A328="","",Members!D328),"")</f>
        <v/>
      </c>
      <c r="E331" s="16" t="str">
        <f aca="false">IF(A331="","",COUNTIF(Completions!A:A,A331))</f>
        <v/>
      </c>
      <c r="F331" s="16" t="str">
        <f aca="false">IF(A331="","",SUMPRODUCT((Completions!A$2:A$5000=A331)*IFERROR(VLOOKUP(Completions!B$2:B$5000,$J$4:$K$18,2,FALSE()),0)))</f>
        <v/>
      </c>
      <c r="G331" s="16" t="str">
        <f aca="false">IF(A331="","",IF(F331&gt;=20,"Gold",IF(F331&gt;=14,"Silver",IF(F331&gt;=8,"Bronze","—"))))</f>
        <v/>
      </c>
      <c r="H331" s="16" t="str">
        <f aca="false">IF(A331="","",IFERROR(TEXT(maxifs(Completions!G:G,Completions!A:A,A331),"yyyy-mm-dd hh:mm"),"—"))</f>
        <v/>
      </c>
    </row>
    <row r="332" customFormat="false" ht="21.75" hidden="false" customHeight="true" outlineLevel="0" collapsed="false">
      <c r="A332" s="17" t="str">
        <f aca="false">IFERROR(IF(Members!A329="","",Members!A329),"")</f>
        <v/>
      </c>
      <c r="B332" s="17" t="str">
        <f aca="false">IFERROR(IF(Members!A329="","",Members!B329),"")</f>
        <v/>
      </c>
      <c r="C332" s="17" t="str">
        <f aca="false">IFERROR(IF(Members!A329="","",Members!C329),"")</f>
        <v/>
      </c>
      <c r="D332" s="17" t="str">
        <f aca="false">IFERROR(IF(Members!A329="","",Members!D329),"")</f>
        <v/>
      </c>
      <c r="E332" s="17" t="str">
        <f aca="false">IF(A332="","",COUNTIF(Completions!A:A,A332))</f>
        <v/>
      </c>
      <c r="F332" s="17" t="str">
        <f aca="false">IF(A332="","",SUMPRODUCT((Completions!A$2:A$5000=A332)*IFERROR(VLOOKUP(Completions!B$2:B$5000,$J$4:$K$18,2,FALSE()),0)))</f>
        <v/>
      </c>
      <c r="G332" s="17" t="str">
        <f aca="false">IF(A332="","",IF(F332&gt;=20,"Gold",IF(F332&gt;=14,"Silver",IF(F332&gt;=8,"Bronze","—"))))</f>
        <v/>
      </c>
      <c r="H332" s="17" t="str">
        <f aca="false">IF(A332="","",IFERROR(TEXT(maxifs(Completions!G:G,Completions!A:A,A332),"yyyy-mm-dd hh:mm"),"—"))</f>
        <v/>
      </c>
    </row>
    <row r="333" customFormat="false" ht="21.75" hidden="false" customHeight="true" outlineLevel="0" collapsed="false">
      <c r="A333" s="16" t="str">
        <f aca="false">IFERROR(IF(Members!A330="","",Members!A330),"")</f>
        <v/>
      </c>
      <c r="B333" s="16" t="str">
        <f aca="false">IFERROR(IF(Members!A330="","",Members!B330),"")</f>
        <v/>
      </c>
      <c r="C333" s="16" t="str">
        <f aca="false">IFERROR(IF(Members!A330="","",Members!C330),"")</f>
        <v/>
      </c>
      <c r="D333" s="16" t="str">
        <f aca="false">IFERROR(IF(Members!A330="","",Members!D330),"")</f>
        <v/>
      </c>
      <c r="E333" s="16" t="str">
        <f aca="false">IF(A333="","",COUNTIF(Completions!A:A,A333))</f>
        <v/>
      </c>
      <c r="F333" s="16" t="str">
        <f aca="false">IF(A333="","",SUMPRODUCT((Completions!A$2:A$5000=A333)*IFERROR(VLOOKUP(Completions!B$2:B$5000,$J$4:$K$18,2,FALSE()),0)))</f>
        <v/>
      </c>
      <c r="G333" s="16" t="str">
        <f aca="false">IF(A333="","",IF(F333&gt;=20,"Gold",IF(F333&gt;=14,"Silver",IF(F333&gt;=8,"Bronze","—"))))</f>
        <v/>
      </c>
      <c r="H333" s="16" t="str">
        <f aca="false">IF(A333="","",IFERROR(TEXT(maxifs(Completions!G:G,Completions!A:A,A333),"yyyy-mm-dd hh:mm"),"—"))</f>
        <v/>
      </c>
    </row>
    <row r="334" customFormat="false" ht="21.75" hidden="false" customHeight="true" outlineLevel="0" collapsed="false">
      <c r="A334" s="17" t="str">
        <f aca="false">IFERROR(IF(Members!A331="","",Members!A331),"")</f>
        <v/>
      </c>
      <c r="B334" s="17" t="str">
        <f aca="false">IFERROR(IF(Members!A331="","",Members!B331),"")</f>
        <v/>
      </c>
      <c r="C334" s="17" t="str">
        <f aca="false">IFERROR(IF(Members!A331="","",Members!C331),"")</f>
        <v/>
      </c>
      <c r="D334" s="17" t="str">
        <f aca="false">IFERROR(IF(Members!A331="","",Members!D331),"")</f>
        <v/>
      </c>
      <c r="E334" s="17" t="str">
        <f aca="false">IF(A334="","",COUNTIF(Completions!A:A,A334))</f>
        <v/>
      </c>
      <c r="F334" s="17" t="str">
        <f aca="false">IF(A334="","",SUMPRODUCT((Completions!A$2:A$5000=A334)*IFERROR(VLOOKUP(Completions!B$2:B$5000,$J$4:$K$18,2,FALSE()),0)))</f>
        <v/>
      </c>
      <c r="G334" s="17" t="str">
        <f aca="false">IF(A334="","",IF(F334&gt;=20,"Gold",IF(F334&gt;=14,"Silver",IF(F334&gt;=8,"Bronze","—"))))</f>
        <v/>
      </c>
      <c r="H334" s="17" t="str">
        <f aca="false">IF(A334="","",IFERROR(TEXT(maxifs(Completions!G:G,Completions!A:A,A334),"yyyy-mm-dd hh:mm"),"—"))</f>
        <v/>
      </c>
    </row>
    <row r="335" customFormat="false" ht="21.75" hidden="false" customHeight="true" outlineLevel="0" collapsed="false">
      <c r="A335" s="16" t="str">
        <f aca="false">IFERROR(IF(Members!A332="","",Members!A332),"")</f>
        <v/>
      </c>
      <c r="B335" s="16" t="str">
        <f aca="false">IFERROR(IF(Members!A332="","",Members!B332),"")</f>
        <v/>
      </c>
      <c r="C335" s="16" t="str">
        <f aca="false">IFERROR(IF(Members!A332="","",Members!C332),"")</f>
        <v/>
      </c>
      <c r="D335" s="16" t="str">
        <f aca="false">IFERROR(IF(Members!A332="","",Members!D332),"")</f>
        <v/>
      </c>
      <c r="E335" s="16" t="str">
        <f aca="false">IF(A335="","",COUNTIF(Completions!A:A,A335))</f>
        <v/>
      </c>
      <c r="F335" s="16" t="str">
        <f aca="false">IF(A335="","",SUMPRODUCT((Completions!A$2:A$5000=A335)*IFERROR(VLOOKUP(Completions!B$2:B$5000,$J$4:$K$18,2,FALSE()),0)))</f>
        <v/>
      </c>
      <c r="G335" s="16" t="str">
        <f aca="false">IF(A335="","",IF(F335&gt;=20,"Gold",IF(F335&gt;=14,"Silver",IF(F335&gt;=8,"Bronze","—"))))</f>
        <v/>
      </c>
      <c r="H335" s="16" t="str">
        <f aca="false">IF(A335="","",IFERROR(TEXT(maxifs(Completions!G:G,Completions!A:A,A335),"yyyy-mm-dd hh:mm"),"—"))</f>
        <v/>
      </c>
    </row>
    <row r="336" customFormat="false" ht="21.75" hidden="false" customHeight="true" outlineLevel="0" collapsed="false">
      <c r="A336" s="17" t="str">
        <f aca="false">IFERROR(IF(Members!A333="","",Members!A333),"")</f>
        <v/>
      </c>
      <c r="B336" s="17" t="str">
        <f aca="false">IFERROR(IF(Members!A333="","",Members!B333),"")</f>
        <v/>
      </c>
      <c r="C336" s="17" t="str">
        <f aca="false">IFERROR(IF(Members!A333="","",Members!C333),"")</f>
        <v/>
      </c>
      <c r="D336" s="17" t="str">
        <f aca="false">IFERROR(IF(Members!A333="","",Members!D333),"")</f>
        <v/>
      </c>
      <c r="E336" s="17" t="str">
        <f aca="false">IF(A336="","",COUNTIF(Completions!A:A,A336))</f>
        <v/>
      </c>
      <c r="F336" s="17" t="str">
        <f aca="false">IF(A336="","",SUMPRODUCT((Completions!A$2:A$5000=A336)*IFERROR(VLOOKUP(Completions!B$2:B$5000,$J$4:$K$18,2,FALSE()),0)))</f>
        <v/>
      </c>
      <c r="G336" s="17" t="str">
        <f aca="false">IF(A336="","",IF(F336&gt;=20,"Gold",IF(F336&gt;=14,"Silver",IF(F336&gt;=8,"Bronze","—"))))</f>
        <v/>
      </c>
      <c r="H336" s="17" t="str">
        <f aca="false">IF(A336="","",IFERROR(TEXT(maxifs(Completions!G:G,Completions!A:A,A336),"yyyy-mm-dd hh:mm"),"—"))</f>
        <v/>
      </c>
    </row>
    <row r="337" customFormat="false" ht="21.75" hidden="false" customHeight="true" outlineLevel="0" collapsed="false">
      <c r="A337" s="16" t="str">
        <f aca="false">IFERROR(IF(Members!A334="","",Members!A334),"")</f>
        <v/>
      </c>
      <c r="B337" s="16" t="str">
        <f aca="false">IFERROR(IF(Members!A334="","",Members!B334),"")</f>
        <v/>
      </c>
      <c r="C337" s="16" t="str">
        <f aca="false">IFERROR(IF(Members!A334="","",Members!C334),"")</f>
        <v/>
      </c>
      <c r="D337" s="16" t="str">
        <f aca="false">IFERROR(IF(Members!A334="","",Members!D334),"")</f>
        <v/>
      </c>
      <c r="E337" s="16" t="str">
        <f aca="false">IF(A337="","",COUNTIF(Completions!A:A,A337))</f>
        <v/>
      </c>
      <c r="F337" s="16" t="str">
        <f aca="false">IF(A337="","",SUMPRODUCT((Completions!A$2:A$5000=A337)*IFERROR(VLOOKUP(Completions!B$2:B$5000,$J$4:$K$18,2,FALSE()),0)))</f>
        <v/>
      </c>
      <c r="G337" s="16" t="str">
        <f aca="false">IF(A337="","",IF(F337&gt;=20,"Gold",IF(F337&gt;=14,"Silver",IF(F337&gt;=8,"Bronze","—"))))</f>
        <v/>
      </c>
      <c r="H337" s="16" t="str">
        <f aca="false">IF(A337="","",IFERROR(TEXT(maxifs(Completions!G:G,Completions!A:A,A337),"yyyy-mm-dd hh:mm"),"—"))</f>
        <v/>
      </c>
    </row>
    <row r="338" customFormat="false" ht="21.75" hidden="false" customHeight="true" outlineLevel="0" collapsed="false">
      <c r="A338" s="17" t="str">
        <f aca="false">IFERROR(IF(Members!A335="","",Members!A335),"")</f>
        <v/>
      </c>
      <c r="B338" s="17" t="str">
        <f aca="false">IFERROR(IF(Members!A335="","",Members!B335),"")</f>
        <v/>
      </c>
      <c r="C338" s="17" t="str">
        <f aca="false">IFERROR(IF(Members!A335="","",Members!C335),"")</f>
        <v/>
      </c>
      <c r="D338" s="17" t="str">
        <f aca="false">IFERROR(IF(Members!A335="","",Members!D335),"")</f>
        <v/>
      </c>
      <c r="E338" s="17" t="str">
        <f aca="false">IF(A338="","",COUNTIF(Completions!A:A,A338))</f>
        <v/>
      </c>
      <c r="F338" s="17" t="str">
        <f aca="false">IF(A338="","",SUMPRODUCT((Completions!A$2:A$5000=A338)*IFERROR(VLOOKUP(Completions!B$2:B$5000,$J$4:$K$18,2,FALSE()),0)))</f>
        <v/>
      </c>
      <c r="G338" s="17" t="str">
        <f aca="false">IF(A338="","",IF(F338&gt;=20,"Gold",IF(F338&gt;=14,"Silver",IF(F338&gt;=8,"Bronze","—"))))</f>
        <v/>
      </c>
      <c r="H338" s="17" t="str">
        <f aca="false">IF(A338="","",IFERROR(TEXT(maxifs(Completions!G:G,Completions!A:A,A338),"yyyy-mm-dd hh:mm"),"—"))</f>
        <v/>
      </c>
    </row>
    <row r="339" customFormat="false" ht="21.75" hidden="false" customHeight="true" outlineLevel="0" collapsed="false">
      <c r="A339" s="16" t="str">
        <f aca="false">IFERROR(IF(Members!A336="","",Members!A336),"")</f>
        <v/>
      </c>
      <c r="B339" s="16" t="str">
        <f aca="false">IFERROR(IF(Members!A336="","",Members!B336),"")</f>
        <v/>
      </c>
      <c r="C339" s="16" t="str">
        <f aca="false">IFERROR(IF(Members!A336="","",Members!C336),"")</f>
        <v/>
      </c>
      <c r="D339" s="16" t="str">
        <f aca="false">IFERROR(IF(Members!A336="","",Members!D336),"")</f>
        <v/>
      </c>
      <c r="E339" s="16" t="str">
        <f aca="false">IF(A339="","",COUNTIF(Completions!A:A,A339))</f>
        <v/>
      </c>
      <c r="F339" s="16" t="str">
        <f aca="false">IF(A339="","",SUMPRODUCT((Completions!A$2:A$5000=A339)*IFERROR(VLOOKUP(Completions!B$2:B$5000,$J$4:$K$18,2,FALSE()),0)))</f>
        <v/>
      </c>
      <c r="G339" s="16" t="str">
        <f aca="false">IF(A339="","",IF(F339&gt;=20,"Gold",IF(F339&gt;=14,"Silver",IF(F339&gt;=8,"Bronze","—"))))</f>
        <v/>
      </c>
      <c r="H339" s="16" t="str">
        <f aca="false">IF(A339="","",IFERROR(TEXT(maxifs(Completions!G:G,Completions!A:A,A339),"yyyy-mm-dd hh:mm"),"—"))</f>
        <v/>
      </c>
    </row>
    <row r="340" customFormat="false" ht="21.75" hidden="false" customHeight="true" outlineLevel="0" collapsed="false">
      <c r="A340" s="17" t="str">
        <f aca="false">IFERROR(IF(Members!A337="","",Members!A337),"")</f>
        <v/>
      </c>
      <c r="B340" s="17" t="str">
        <f aca="false">IFERROR(IF(Members!A337="","",Members!B337),"")</f>
        <v/>
      </c>
      <c r="C340" s="17" t="str">
        <f aca="false">IFERROR(IF(Members!A337="","",Members!C337),"")</f>
        <v/>
      </c>
      <c r="D340" s="17" t="str">
        <f aca="false">IFERROR(IF(Members!A337="","",Members!D337),"")</f>
        <v/>
      </c>
      <c r="E340" s="17" t="str">
        <f aca="false">IF(A340="","",COUNTIF(Completions!A:A,A340))</f>
        <v/>
      </c>
      <c r="F340" s="17" t="str">
        <f aca="false">IF(A340="","",SUMPRODUCT((Completions!A$2:A$5000=A340)*IFERROR(VLOOKUP(Completions!B$2:B$5000,$J$4:$K$18,2,FALSE()),0)))</f>
        <v/>
      </c>
      <c r="G340" s="17" t="str">
        <f aca="false">IF(A340="","",IF(F340&gt;=20,"Gold",IF(F340&gt;=14,"Silver",IF(F340&gt;=8,"Bronze","—"))))</f>
        <v/>
      </c>
      <c r="H340" s="17" t="str">
        <f aca="false">IF(A340="","",IFERROR(TEXT(maxifs(Completions!G:G,Completions!A:A,A340),"yyyy-mm-dd hh:mm"),"—"))</f>
        <v/>
      </c>
    </row>
    <row r="341" customFormat="false" ht="21.75" hidden="false" customHeight="true" outlineLevel="0" collapsed="false">
      <c r="A341" s="16" t="str">
        <f aca="false">IFERROR(IF(Members!A338="","",Members!A338),"")</f>
        <v/>
      </c>
      <c r="B341" s="16" t="str">
        <f aca="false">IFERROR(IF(Members!A338="","",Members!B338),"")</f>
        <v/>
      </c>
      <c r="C341" s="16" t="str">
        <f aca="false">IFERROR(IF(Members!A338="","",Members!C338),"")</f>
        <v/>
      </c>
      <c r="D341" s="16" t="str">
        <f aca="false">IFERROR(IF(Members!A338="","",Members!D338),"")</f>
        <v/>
      </c>
      <c r="E341" s="16" t="str">
        <f aca="false">IF(A341="","",COUNTIF(Completions!A:A,A341))</f>
        <v/>
      </c>
      <c r="F341" s="16" t="str">
        <f aca="false">IF(A341="","",SUMPRODUCT((Completions!A$2:A$5000=A341)*IFERROR(VLOOKUP(Completions!B$2:B$5000,$J$4:$K$18,2,FALSE()),0)))</f>
        <v/>
      </c>
      <c r="G341" s="16" t="str">
        <f aca="false">IF(A341="","",IF(F341&gt;=20,"Gold",IF(F341&gt;=14,"Silver",IF(F341&gt;=8,"Bronze","—"))))</f>
        <v/>
      </c>
      <c r="H341" s="16" t="str">
        <f aca="false">IF(A341="","",IFERROR(TEXT(maxifs(Completions!G:G,Completions!A:A,A341),"yyyy-mm-dd hh:mm"),"—"))</f>
        <v/>
      </c>
    </row>
    <row r="342" customFormat="false" ht="21.75" hidden="false" customHeight="true" outlineLevel="0" collapsed="false">
      <c r="A342" s="17" t="str">
        <f aca="false">IFERROR(IF(Members!A339="","",Members!A339),"")</f>
        <v/>
      </c>
      <c r="B342" s="17" t="str">
        <f aca="false">IFERROR(IF(Members!A339="","",Members!B339),"")</f>
        <v/>
      </c>
      <c r="C342" s="17" t="str">
        <f aca="false">IFERROR(IF(Members!A339="","",Members!C339),"")</f>
        <v/>
      </c>
      <c r="D342" s="17" t="str">
        <f aca="false">IFERROR(IF(Members!A339="","",Members!D339),"")</f>
        <v/>
      </c>
      <c r="E342" s="17" t="str">
        <f aca="false">IF(A342="","",COUNTIF(Completions!A:A,A342))</f>
        <v/>
      </c>
      <c r="F342" s="17" t="str">
        <f aca="false">IF(A342="","",SUMPRODUCT((Completions!A$2:A$5000=A342)*IFERROR(VLOOKUP(Completions!B$2:B$5000,$J$4:$K$18,2,FALSE()),0)))</f>
        <v/>
      </c>
      <c r="G342" s="17" t="str">
        <f aca="false">IF(A342="","",IF(F342&gt;=20,"Gold",IF(F342&gt;=14,"Silver",IF(F342&gt;=8,"Bronze","—"))))</f>
        <v/>
      </c>
      <c r="H342" s="17" t="str">
        <f aca="false">IF(A342="","",IFERROR(TEXT(maxifs(Completions!G:G,Completions!A:A,A342),"yyyy-mm-dd hh:mm"),"—"))</f>
        <v/>
      </c>
    </row>
    <row r="343" customFormat="false" ht="21.75" hidden="false" customHeight="true" outlineLevel="0" collapsed="false">
      <c r="A343" s="16" t="str">
        <f aca="false">IFERROR(IF(Members!A340="","",Members!A340),"")</f>
        <v/>
      </c>
      <c r="B343" s="16" t="str">
        <f aca="false">IFERROR(IF(Members!A340="","",Members!B340),"")</f>
        <v/>
      </c>
      <c r="C343" s="16" t="str">
        <f aca="false">IFERROR(IF(Members!A340="","",Members!C340),"")</f>
        <v/>
      </c>
      <c r="D343" s="16" t="str">
        <f aca="false">IFERROR(IF(Members!A340="","",Members!D340),"")</f>
        <v/>
      </c>
      <c r="E343" s="16" t="str">
        <f aca="false">IF(A343="","",COUNTIF(Completions!A:A,A343))</f>
        <v/>
      </c>
      <c r="F343" s="16" t="str">
        <f aca="false">IF(A343="","",SUMPRODUCT((Completions!A$2:A$5000=A343)*IFERROR(VLOOKUP(Completions!B$2:B$5000,$J$4:$K$18,2,FALSE()),0)))</f>
        <v/>
      </c>
      <c r="G343" s="16" t="str">
        <f aca="false">IF(A343="","",IF(F343&gt;=20,"Gold",IF(F343&gt;=14,"Silver",IF(F343&gt;=8,"Bronze","—"))))</f>
        <v/>
      </c>
      <c r="H343" s="16" t="str">
        <f aca="false">IF(A343="","",IFERROR(TEXT(maxifs(Completions!G:G,Completions!A:A,A343),"yyyy-mm-dd hh:mm"),"—"))</f>
        <v/>
      </c>
    </row>
    <row r="344" customFormat="false" ht="21.75" hidden="false" customHeight="true" outlineLevel="0" collapsed="false">
      <c r="A344" s="17" t="str">
        <f aca="false">IFERROR(IF(Members!A341="","",Members!A341),"")</f>
        <v/>
      </c>
      <c r="B344" s="17" t="str">
        <f aca="false">IFERROR(IF(Members!A341="","",Members!B341),"")</f>
        <v/>
      </c>
      <c r="C344" s="17" t="str">
        <f aca="false">IFERROR(IF(Members!A341="","",Members!C341),"")</f>
        <v/>
      </c>
      <c r="D344" s="17" t="str">
        <f aca="false">IFERROR(IF(Members!A341="","",Members!D341),"")</f>
        <v/>
      </c>
      <c r="E344" s="17" t="str">
        <f aca="false">IF(A344="","",COUNTIF(Completions!A:A,A344))</f>
        <v/>
      </c>
      <c r="F344" s="17" t="str">
        <f aca="false">IF(A344="","",SUMPRODUCT((Completions!A$2:A$5000=A344)*IFERROR(VLOOKUP(Completions!B$2:B$5000,$J$4:$K$18,2,FALSE()),0)))</f>
        <v/>
      </c>
      <c r="G344" s="17" t="str">
        <f aca="false">IF(A344="","",IF(F344&gt;=20,"Gold",IF(F344&gt;=14,"Silver",IF(F344&gt;=8,"Bronze","—"))))</f>
        <v/>
      </c>
      <c r="H344" s="17" t="str">
        <f aca="false">IF(A344="","",IFERROR(TEXT(maxifs(Completions!G:G,Completions!A:A,A344),"yyyy-mm-dd hh:mm"),"—"))</f>
        <v/>
      </c>
    </row>
    <row r="345" customFormat="false" ht="21.75" hidden="false" customHeight="true" outlineLevel="0" collapsed="false">
      <c r="A345" s="16" t="str">
        <f aca="false">IFERROR(IF(Members!A342="","",Members!A342),"")</f>
        <v/>
      </c>
      <c r="B345" s="16" t="str">
        <f aca="false">IFERROR(IF(Members!A342="","",Members!B342),"")</f>
        <v/>
      </c>
      <c r="C345" s="16" t="str">
        <f aca="false">IFERROR(IF(Members!A342="","",Members!C342),"")</f>
        <v/>
      </c>
      <c r="D345" s="16" t="str">
        <f aca="false">IFERROR(IF(Members!A342="","",Members!D342),"")</f>
        <v/>
      </c>
      <c r="E345" s="16" t="str">
        <f aca="false">IF(A345="","",COUNTIF(Completions!A:A,A345))</f>
        <v/>
      </c>
      <c r="F345" s="16" t="str">
        <f aca="false">IF(A345="","",SUMPRODUCT((Completions!A$2:A$5000=A345)*IFERROR(VLOOKUP(Completions!B$2:B$5000,$J$4:$K$18,2,FALSE()),0)))</f>
        <v/>
      </c>
      <c r="G345" s="16" t="str">
        <f aca="false">IF(A345="","",IF(F345&gt;=20,"Gold",IF(F345&gt;=14,"Silver",IF(F345&gt;=8,"Bronze","—"))))</f>
        <v/>
      </c>
      <c r="H345" s="16" t="str">
        <f aca="false">IF(A345="","",IFERROR(TEXT(maxifs(Completions!G:G,Completions!A:A,A345),"yyyy-mm-dd hh:mm"),"—"))</f>
        <v/>
      </c>
    </row>
    <row r="346" customFormat="false" ht="21.75" hidden="false" customHeight="true" outlineLevel="0" collapsed="false">
      <c r="A346" s="17" t="str">
        <f aca="false">IFERROR(IF(Members!A343="","",Members!A343),"")</f>
        <v/>
      </c>
      <c r="B346" s="17" t="str">
        <f aca="false">IFERROR(IF(Members!A343="","",Members!B343),"")</f>
        <v/>
      </c>
      <c r="C346" s="17" t="str">
        <f aca="false">IFERROR(IF(Members!A343="","",Members!C343),"")</f>
        <v/>
      </c>
      <c r="D346" s="17" t="str">
        <f aca="false">IFERROR(IF(Members!A343="","",Members!D343),"")</f>
        <v/>
      </c>
      <c r="E346" s="17" t="str">
        <f aca="false">IF(A346="","",COUNTIF(Completions!A:A,A346))</f>
        <v/>
      </c>
      <c r="F346" s="17" t="str">
        <f aca="false">IF(A346="","",SUMPRODUCT((Completions!A$2:A$5000=A346)*IFERROR(VLOOKUP(Completions!B$2:B$5000,$J$4:$K$18,2,FALSE()),0)))</f>
        <v/>
      </c>
      <c r="G346" s="17" t="str">
        <f aca="false">IF(A346="","",IF(F346&gt;=20,"Gold",IF(F346&gt;=14,"Silver",IF(F346&gt;=8,"Bronze","—"))))</f>
        <v/>
      </c>
      <c r="H346" s="17" t="str">
        <f aca="false">IF(A346="","",IFERROR(TEXT(maxifs(Completions!G:G,Completions!A:A,A346),"yyyy-mm-dd hh:mm"),"—"))</f>
        <v/>
      </c>
    </row>
    <row r="347" customFormat="false" ht="21.75" hidden="false" customHeight="true" outlineLevel="0" collapsed="false">
      <c r="A347" s="16" t="str">
        <f aca="false">IFERROR(IF(Members!A344="","",Members!A344),"")</f>
        <v/>
      </c>
      <c r="B347" s="16" t="str">
        <f aca="false">IFERROR(IF(Members!A344="","",Members!B344),"")</f>
        <v/>
      </c>
      <c r="C347" s="16" t="str">
        <f aca="false">IFERROR(IF(Members!A344="","",Members!C344),"")</f>
        <v/>
      </c>
      <c r="D347" s="16" t="str">
        <f aca="false">IFERROR(IF(Members!A344="","",Members!D344),"")</f>
        <v/>
      </c>
      <c r="E347" s="16" t="str">
        <f aca="false">IF(A347="","",COUNTIF(Completions!A:A,A347))</f>
        <v/>
      </c>
      <c r="F347" s="16" t="str">
        <f aca="false">IF(A347="","",SUMPRODUCT((Completions!A$2:A$5000=A347)*IFERROR(VLOOKUP(Completions!B$2:B$5000,$J$4:$K$18,2,FALSE()),0)))</f>
        <v/>
      </c>
      <c r="G347" s="16" t="str">
        <f aca="false">IF(A347="","",IF(F347&gt;=20,"Gold",IF(F347&gt;=14,"Silver",IF(F347&gt;=8,"Bronze","—"))))</f>
        <v/>
      </c>
      <c r="H347" s="16" t="str">
        <f aca="false">IF(A347="","",IFERROR(TEXT(maxifs(Completions!G:G,Completions!A:A,A347),"yyyy-mm-dd hh:mm"),"—"))</f>
        <v/>
      </c>
    </row>
    <row r="348" customFormat="false" ht="21.75" hidden="false" customHeight="true" outlineLevel="0" collapsed="false">
      <c r="A348" s="17" t="str">
        <f aca="false">IFERROR(IF(Members!A345="","",Members!A345),"")</f>
        <v/>
      </c>
      <c r="B348" s="17" t="str">
        <f aca="false">IFERROR(IF(Members!A345="","",Members!B345),"")</f>
        <v/>
      </c>
      <c r="C348" s="17" t="str">
        <f aca="false">IFERROR(IF(Members!A345="","",Members!C345),"")</f>
        <v/>
      </c>
      <c r="D348" s="17" t="str">
        <f aca="false">IFERROR(IF(Members!A345="","",Members!D345),"")</f>
        <v/>
      </c>
      <c r="E348" s="17" t="str">
        <f aca="false">IF(A348="","",COUNTIF(Completions!A:A,A348))</f>
        <v/>
      </c>
      <c r="F348" s="17" t="str">
        <f aca="false">IF(A348="","",SUMPRODUCT((Completions!A$2:A$5000=A348)*IFERROR(VLOOKUP(Completions!B$2:B$5000,$J$4:$K$18,2,FALSE()),0)))</f>
        <v/>
      </c>
      <c r="G348" s="17" t="str">
        <f aca="false">IF(A348="","",IF(F348&gt;=20,"Gold",IF(F348&gt;=14,"Silver",IF(F348&gt;=8,"Bronze","—"))))</f>
        <v/>
      </c>
      <c r="H348" s="17" t="str">
        <f aca="false">IF(A348="","",IFERROR(TEXT(maxifs(Completions!G:G,Completions!A:A,A348),"yyyy-mm-dd hh:mm"),"—"))</f>
        <v/>
      </c>
    </row>
    <row r="349" customFormat="false" ht="21.75" hidden="false" customHeight="true" outlineLevel="0" collapsed="false">
      <c r="A349" s="16" t="str">
        <f aca="false">IFERROR(IF(Members!A346="","",Members!A346),"")</f>
        <v/>
      </c>
      <c r="B349" s="16" t="str">
        <f aca="false">IFERROR(IF(Members!A346="","",Members!B346),"")</f>
        <v/>
      </c>
      <c r="C349" s="16" t="str">
        <f aca="false">IFERROR(IF(Members!A346="","",Members!C346),"")</f>
        <v/>
      </c>
      <c r="D349" s="16" t="str">
        <f aca="false">IFERROR(IF(Members!A346="","",Members!D346),"")</f>
        <v/>
      </c>
      <c r="E349" s="16" t="str">
        <f aca="false">IF(A349="","",COUNTIF(Completions!A:A,A349))</f>
        <v/>
      </c>
      <c r="F349" s="16" t="str">
        <f aca="false">IF(A349="","",SUMPRODUCT((Completions!A$2:A$5000=A349)*IFERROR(VLOOKUP(Completions!B$2:B$5000,$J$4:$K$18,2,FALSE()),0)))</f>
        <v/>
      </c>
      <c r="G349" s="16" t="str">
        <f aca="false">IF(A349="","",IF(F349&gt;=20,"Gold",IF(F349&gt;=14,"Silver",IF(F349&gt;=8,"Bronze","—"))))</f>
        <v/>
      </c>
      <c r="H349" s="16" t="str">
        <f aca="false">IF(A349="","",IFERROR(TEXT(maxifs(Completions!G:G,Completions!A:A,A349),"yyyy-mm-dd hh:mm"),"—"))</f>
        <v/>
      </c>
    </row>
    <row r="350" customFormat="false" ht="21.75" hidden="false" customHeight="true" outlineLevel="0" collapsed="false">
      <c r="A350" s="17" t="str">
        <f aca="false">IFERROR(IF(Members!A347="","",Members!A347),"")</f>
        <v/>
      </c>
      <c r="B350" s="17" t="str">
        <f aca="false">IFERROR(IF(Members!A347="","",Members!B347),"")</f>
        <v/>
      </c>
      <c r="C350" s="17" t="str">
        <f aca="false">IFERROR(IF(Members!A347="","",Members!C347),"")</f>
        <v/>
      </c>
      <c r="D350" s="17" t="str">
        <f aca="false">IFERROR(IF(Members!A347="","",Members!D347),"")</f>
        <v/>
      </c>
      <c r="E350" s="17" t="str">
        <f aca="false">IF(A350="","",COUNTIF(Completions!A:A,A350))</f>
        <v/>
      </c>
      <c r="F350" s="17" t="str">
        <f aca="false">IF(A350="","",SUMPRODUCT((Completions!A$2:A$5000=A350)*IFERROR(VLOOKUP(Completions!B$2:B$5000,$J$4:$K$18,2,FALSE()),0)))</f>
        <v/>
      </c>
      <c r="G350" s="17" t="str">
        <f aca="false">IF(A350="","",IF(F350&gt;=20,"Gold",IF(F350&gt;=14,"Silver",IF(F350&gt;=8,"Bronze","—"))))</f>
        <v/>
      </c>
      <c r="H350" s="17" t="str">
        <f aca="false">IF(A350="","",IFERROR(TEXT(maxifs(Completions!G:G,Completions!A:A,A350),"yyyy-mm-dd hh:mm"),"—"))</f>
        <v/>
      </c>
    </row>
    <row r="351" customFormat="false" ht="21.75" hidden="false" customHeight="true" outlineLevel="0" collapsed="false">
      <c r="A351" s="16" t="str">
        <f aca="false">IFERROR(IF(Members!A348="","",Members!A348),"")</f>
        <v/>
      </c>
      <c r="B351" s="16" t="str">
        <f aca="false">IFERROR(IF(Members!A348="","",Members!B348),"")</f>
        <v/>
      </c>
      <c r="C351" s="16" t="str">
        <f aca="false">IFERROR(IF(Members!A348="","",Members!C348),"")</f>
        <v/>
      </c>
      <c r="D351" s="16" t="str">
        <f aca="false">IFERROR(IF(Members!A348="","",Members!D348),"")</f>
        <v/>
      </c>
      <c r="E351" s="16" t="str">
        <f aca="false">IF(A351="","",COUNTIF(Completions!A:A,A351))</f>
        <v/>
      </c>
      <c r="F351" s="16" t="str">
        <f aca="false">IF(A351="","",SUMPRODUCT((Completions!A$2:A$5000=A351)*IFERROR(VLOOKUP(Completions!B$2:B$5000,$J$4:$K$18,2,FALSE()),0)))</f>
        <v/>
      </c>
      <c r="G351" s="16" t="str">
        <f aca="false">IF(A351="","",IF(F351&gt;=20,"Gold",IF(F351&gt;=14,"Silver",IF(F351&gt;=8,"Bronze","—"))))</f>
        <v/>
      </c>
      <c r="H351" s="16" t="str">
        <f aca="false">IF(A351="","",IFERROR(TEXT(maxifs(Completions!G:G,Completions!A:A,A351),"yyyy-mm-dd hh:mm"),"—"))</f>
        <v/>
      </c>
    </row>
    <row r="352" customFormat="false" ht="21.75" hidden="false" customHeight="true" outlineLevel="0" collapsed="false">
      <c r="A352" s="17" t="str">
        <f aca="false">IFERROR(IF(Members!A349="","",Members!A349),"")</f>
        <v/>
      </c>
      <c r="B352" s="17" t="str">
        <f aca="false">IFERROR(IF(Members!A349="","",Members!B349),"")</f>
        <v/>
      </c>
      <c r="C352" s="17" t="str">
        <f aca="false">IFERROR(IF(Members!A349="","",Members!C349),"")</f>
        <v/>
      </c>
      <c r="D352" s="17" t="str">
        <f aca="false">IFERROR(IF(Members!A349="","",Members!D349),"")</f>
        <v/>
      </c>
      <c r="E352" s="17" t="str">
        <f aca="false">IF(A352="","",COUNTIF(Completions!A:A,A352))</f>
        <v/>
      </c>
      <c r="F352" s="17" t="str">
        <f aca="false">IF(A352="","",SUMPRODUCT((Completions!A$2:A$5000=A352)*IFERROR(VLOOKUP(Completions!B$2:B$5000,$J$4:$K$18,2,FALSE()),0)))</f>
        <v/>
      </c>
      <c r="G352" s="17" t="str">
        <f aca="false">IF(A352="","",IF(F352&gt;=20,"Gold",IF(F352&gt;=14,"Silver",IF(F352&gt;=8,"Bronze","—"))))</f>
        <v/>
      </c>
      <c r="H352" s="17" t="str">
        <f aca="false">IF(A352="","",IFERROR(TEXT(maxifs(Completions!G:G,Completions!A:A,A352),"yyyy-mm-dd hh:mm"),"—"))</f>
        <v/>
      </c>
    </row>
    <row r="353" customFormat="false" ht="21.75" hidden="false" customHeight="true" outlineLevel="0" collapsed="false">
      <c r="A353" s="16" t="str">
        <f aca="false">IFERROR(IF(Members!A350="","",Members!A350),"")</f>
        <v/>
      </c>
      <c r="B353" s="16" t="str">
        <f aca="false">IFERROR(IF(Members!A350="","",Members!B350),"")</f>
        <v/>
      </c>
      <c r="C353" s="16" t="str">
        <f aca="false">IFERROR(IF(Members!A350="","",Members!C350),"")</f>
        <v/>
      </c>
      <c r="D353" s="16" t="str">
        <f aca="false">IFERROR(IF(Members!A350="","",Members!D350),"")</f>
        <v/>
      </c>
      <c r="E353" s="16" t="str">
        <f aca="false">IF(A353="","",COUNTIF(Completions!A:A,A353))</f>
        <v/>
      </c>
      <c r="F353" s="16" t="str">
        <f aca="false">IF(A353="","",SUMPRODUCT((Completions!A$2:A$5000=A353)*IFERROR(VLOOKUP(Completions!B$2:B$5000,$J$4:$K$18,2,FALSE()),0)))</f>
        <v/>
      </c>
      <c r="G353" s="16" t="str">
        <f aca="false">IF(A353="","",IF(F353&gt;=20,"Gold",IF(F353&gt;=14,"Silver",IF(F353&gt;=8,"Bronze","—"))))</f>
        <v/>
      </c>
      <c r="H353" s="16" t="str">
        <f aca="false">IF(A353="","",IFERROR(TEXT(maxifs(Completions!G:G,Completions!A:A,A353),"yyyy-mm-dd hh:mm"),"—"))</f>
        <v/>
      </c>
    </row>
    <row r="354" customFormat="false" ht="21.75" hidden="false" customHeight="true" outlineLevel="0" collapsed="false">
      <c r="A354" s="17" t="str">
        <f aca="false">IFERROR(IF(Members!A351="","",Members!A351),"")</f>
        <v/>
      </c>
      <c r="B354" s="17" t="str">
        <f aca="false">IFERROR(IF(Members!A351="","",Members!B351),"")</f>
        <v/>
      </c>
      <c r="C354" s="17" t="str">
        <f aca="false">IFERROR(IF(Members!A351="","",Members!C351),"")</f>
        <v/>
      </c>
      <c r="D354" s="17" t="str">
        <f aca="false">IFERROR(IF(Members!A351="","",Members!D351),"")</f>
        <v/>
      </c>
      <c r="E354" s="17" t="str">
        <f aca="false">IF(A354="","",COUNTIF(Completions!A:A,A354))</f>
        <v/>
      </c>
      <c r="F354" s="17" t="str">
        <f aca="false">IF(A354="","",SUMPRODUCT((Completions!A$2:A$5000=A354)*IFERROR(VLOOKUP(Completions!B$2:B$5000,$J$4:$K$18,2,FALSE()),0)))</f>
        <v/>
      </c>
      <c r="G354" s="17" t="str">
        <f aca="false">IF(A354="","",IF(F354&gt;=20,"Gold",IF(F354&gt;=14,"Silver",IF(F354&gt;=8,"Bronze","—"))))</f>
        <v/>
      </c>
      <c r="H354" s="17" t="str">
        <f aca="false">IF(A354="","",IFERROR(TEXT(maxifs(Completions!G:G,Completions!A:A,A354),"yyyy-mm-dd hh:mm"),"—"))</f>
        <v/>
      </c>
    </row>
    <row r="355" customFormat="false" ht="21.75" hidden="false" customHeight="true" outlineLevel="0" collapsed="false">
      <c r="A355" s="16" t="str">
        <f aca="false">IFERROR(IF(Members!A352="","",Members!A352),"")</f>
        <v/>
      </c>
      <c r="B355" s="16" t="str">
        <f aca="false">IFERROR(IF(Members!A352="","",Members!B352),"")</f>
        <v/>
      </c>
      <c r="C355" s="16" t="str">
        <f aca="false">IFERROR(IF(Members!A352="","",Members!C352),"")</f>
        <v/>
      </c>
      <c r="D355" s="16" t="str">
        <f aca="false">IFERROR(IF(Members!A352="","",Members!D352),"")</f>
        <v/>
      </c>
      <c r="E355" s="16" t="str">
        <f aca="false">IF(A355="","",COUNTIF(Completions!A:A,A355))</f>
        <v/>
      </c>
      <c r="F355" s="16" t="str">
        <f aca="false">IF(A355="","",SUMPRODUCT((Completions!A$2:A$5000=A355)*IFERROR(VLOOKUP(Completions!B$2:B$5000,$J$4:$K$18,2,FALSE()),0)))</f>
        <v/>
      </c>
      <c r="G355" s="16" t="str">
        <f aca="false">IF(A355="","",IF(F355&gt;=20,"Gold",IF(F355&gt;=14,"Silver",IF(F355&gt;=8,"Bronze","—"))))</f>
        <v/>
      </c>
      <c r="H355" s="16" t="str">
        <f aca="false">IF(A355="","",IFERROR(TEXT(maxifs(Completions!G:G,Completions!A:A,A355),"yyyy-mm-dd hh:mm"),"—"))</f>
        <v/>
      </c>
    </row>
    <row r="356" customFormat="false" ht="21.75" hidden="false" customHeight="true" outlineLevel="0" collapsed="false">
      <c r="A356" s="17" t="str">
        <f aca="false">IFERROR(IF(Members!A353="","",Members!A353),"")</f>
        <v/>
      </c>
      <c r="B356" s="17" t="str">
        <f aca="false">IFERROR(IF(Members!A353="","",Members!B353),"")</f>
        <v/>
      </c>
      <c r="C356" s="17" t="str">
        <f aca="false">IFERROR(IF(Members!A353="","",Members!C353),"")</f>
        <v/>
      </c>
      <c r="D356" s="17" t="str">
        <f aca="false">IFERROR(IF(Members!A353="","",Members!D353),"")</f>
        <v/>
      </c>
      <c r="E356" s="17" t="str">
        <f aca="false">IF(A356="","",COUNTIF(Completions!A:A,A356))</f>
        <v/>
      </c>
      <c r="F356" s="17" t="str">
        <f aca="false">IF(A356="","",SUMPRODUCT((Completions!A$2:A$5000=A356)*IFERROR(VLOOKUP(Completions!B$2:B$5000,$J$4:$K$18,2,FALSE()),0)))</f>
        <v/>
      </c>
      <c r="G356" s="17" t="str">
        <f aca="false">IF(A356="","",IF(F356&gt;=20,"Gold",IF(F356&gt;=14,"Silver",IF(F356&gt;=8,"Bronze","—"))))</f>
        <v/>
      </c>
      <c r="H356" s="17" t="str">
        <f aca="false">IF(A356="","",IFERROR(TEXT(maxifs(Completions!G:G,Completions!A:A,A356),"yyyy-mm-dd hh:mm"),"—"))</f>
        <v/>
      </c>
    </row>
    <row r="357" customFormat="false" ht="21.75" hidden="false" customHeight="true" outlineLevel="0" collapsed="false">
      <c r="A357" s="16" t="str">
        <f aca="false">IFERROR(IF(Members!A354="","",Members!A354),"")</f>
        <v/>
      </c>
      <c r="B357" s="16" t="str">
        <f aca="false">IFERROR(IF(Members!A354="","",Members!B354),"")</f>
        <v/>
      </c>
      <c r="C357" s="16" t="str">
        <f aca="false">IFERROR(IF(Members!A354="","",Members!C354),"")</f>
        <v/>
      </c>
      <c r="D357" s="16" t="str">
        <f aca="false">IFERROR(IF(Members!A354="","",Members!D354),"")</f>
        <v/>
      </c>
      <c r="E357" s="16" t="str">
        <f aca="false">IF(A357="","",COUNTIF(Completions!A:A,A357))</f>
        <v/>
      </c>
      <c r="F357" s="16" t="str">
        <f aca="false">IF(A357="","",SUMPRODUCT((Completions!A$2:A$5000=A357)*IFERROR(VLOOKUP(Completions!B$2:B$5000,$J$4:$K$18,2,FALSE()),0)))</f>
        <v/>
      </c>
      <c r="G357" s="16" t="str">
        <f aca="false">IF(A357="","",IF(F357&gt;=20,"Gold",IF(F357&gt;=14,"Silver",IF(F357&gt;=8,"Bronze","—"))))</f>
        <v/>
      </c>
      <c r="H357" s="16" t="str">
        <f aca="false">IF(A357="","",IFERROR(TEXT(maxifs(Completions!G:G,Completions!A:A,A357),"yyyy-mm-dd hh:mm"),"—"))</f>
        <v/>
      </c>
    </row>
    <row r="358" customFormat="false" ht="21.75" hidden="false" customHeight="true" outlineLevel="0" collapsed="false">
      <c r="A358" s="17" t="str">
        <f aca="false">IFERROR(IF(Members!A355="","",Members!A355),"")</f>
        <v/>
      </c>
      <c r="B358" s="17" t="str">
        <f aca="false">IFERROR(IF(Members!A355="","",Members!B355),"")</f>
        <v/>
      </c>
      <c r="C358" s="17" t="str">
        <f aca="false">IFERROR(IF(Members!A355="","",Members!C355),"")</f>
        <v/>
      </c>
      <c r="D358" s="17" t="str">
        <f aca="false">IFERROR(IF(Members!A355="","",Members!D355),"")</f>
        <v/>
      </c>
      <c r="E358" s="17" t="str">
        <f aca="false">IF(A358="","",COUNTIF(Completions!A:A,A358))</f>
        <v/>
      </c>
      <c r="F358" s="17" t="str">
        <f aca="false">IF(A358="","",SUMPRODUCT((Completions!A$2:A$5000=A358)*IFERROR(VLOOKUP(Completions!B$2:B$5000,$J$4:$K$18,2,FALSE()),0)))</f>
        <v/>
      </c>
      <c r="G358" s="17" t="str">
        <f aca="false">IF(A358="","",IF(F358&gt;=20,"Gold",IF(F358&gt;=14,"Silver",IF(F358&gt;=8,"Bronze","—"))))</f>
        <v/>
      </c>
      <c r="H358" s="17" t="str">
        <f aca="false">IF(A358="","",IFERROR(TEXT(maxifs(Completions!G:G,Completions!A:A,A358),"yyyy-mm-dd hh:mm"),"—"))</f>
        <v/>
      </c>
    </row>
    <row r="359" customFormat="false" ht="21.75" hidden="false" customHeight="true" outlineLevel="0" collapsed="false">
      <c r="A359" s="16" t="str">
        <f aca="false">IFERROR(IF(Members!A356="","",Members!A356),"")</f>
        <v/>
      </c>
      <c r="B359" s="16" t="str">
        <f aca="false">IFERROR(IF(Members!A356="","",Members!B356),"")</f>
        <v/>
      </c>
      <c r="C359" s="16" t="str">
        <f aca="false">IFERROR(IF(Members!A356="","",Members!C356),"")</f>
        <v/>
      </c>
      <c r="D359" s="16" t="str">
        <f aca="false">IFERROR(IF(Members!A356="","",Members!D356),"")</f>
        <v/>
      </c>
      <c r="E359" s="16" t="str">
        <f aca="false">IF(A359="","",COUNTIF(Completions!A:A,A359))</f>
        <v/>
      </c>
      <c r="F359" s="16" t="str">
        <f aca="false">IF(A359="","",SUMPRODUCT((Completions!A$2:A$5000=A359)*IFERROR(VLOOKUP(Completions!B$2:B$5000,$J$4:$K$18,2,FALSE()),0)))</f>
        <v/>
      </c>
      <c r="G359" s="16" t="str">
        <f aca="false">IF(A359="","",IF(F359&gt;=20,"Gold",IF(F359&gt;=14,"Silver",IF(F359&gt;=8,"Bronze","—"))))</f>
        <v/>
      </c>
      <c r="H359" s="16" t="str">
        <f aca="false">IF(A359="","",IFERROR(TEXT(maxifs(Completions!G:G,Completions!A:A,A359),"yyyy-mm-dd hh:mm"),"—"))</f>
        <v/>
      </c>
    </row>
    <row r="360" customFormat="false" ht="21.75" hidden="false" customHeight="true" outlineLevel="0" collapsed="false">
      <c r="A360" s="17" t="str">
        <f aca="false">IFERROR(IF(Members!A357="","",Members!A357),"")</f>
        <v/>
      </c>
      <c r="B360" s="17" t="str">
        <f aca="false">IFERROR(IF(Members!A357="","",Members!B357),"")</f>
        <v/>
      </c>
      <c r="C360" s="17" t="str">
        <f aca="false">IFERROR(IF(Members!A357="","",Members!C357),"")</f>
        <v/>
      </c>
      <c r="D360" s="17" t="str">
        <f aca="false">IFERROR(IF(Members!A357="","",Members!D357),"")</f>
        <v/>
      </c>
      <c r="E360" s="17" t="str">
        <f aca="false">IF(A360="","",COUNTIF(Completions!A:A,A360))</f>
        <v/>
      </c>
      <c r="F360" s="17" t="str">
        <f aca="false">IF(A360="","",SUMPRODUCT((Completions!A$2:A$5000=A360)*IFERROR(VLOOKUP(Completions!B$2:B$5000,$J$4:$K$18,2,FALSE()),0)))</f>
        <v/>
      </c>
      <c r="G360" s="17" t="str">
        <f aca="false">IF(A360="","",IF(F360&gt;=20,"Gold",IF(F360&gt;=14,"Silver",IF(F360&gt;=8,"Bronze","—"))))</f>
        <v/>
      </c>
      <c r="H360" s="17" t="str">
        <f aca="false">IF(A360="","",IFERROR(TEXT(maxifs(Completions!G:G,Completions!A:A,A360),"yyyy-mm-dd hh:mm"),"—"))</f>
        <v/>
      </c>
    </row>
    <row r="361" customFormat="false" ht="21.75" hidden="false" customHeight="true" outlineLevel="0" collapsed="false">
      <c r="A361" s="16" t="str">
        <f aca="false">IFERROR(IF(Members!A358="","",Members!A358),"")</f>
        <v/>
      </c>
      <c r="B361" s="16" t="str">
        <f aca="false">IFERROR(IF(Members!A358="","",Members!B358),"")</f>
        <v/>
      </c>
      <c r="C361" s="16" t="str">
        <f aca="false">IFERROR(IF(Members!A358="","",Members!C358),"")</f>
        <v/>
      </c>
      <c r="D361" s="16" t="str">
        <f aca="false">IFERROR(IF(Members!A358="","",Members!D358),"")</f>
        <v/>
      </c>
      <c r="E361" s="16" t="str">
        <f aca="false">IF(A361="","",COUNTIF(Completions!A:A,A361))</f>
        <v/>
      </c>
      <c r="F361" s="16" t="str">
        <f aca="false">IF(A361="","",SUMPRODUCT((Completions!A$2:A$5000=A361)*IFERROR(VLOOKUP(Completions!B$2:B$5000,$J$4:$K$18,2,FALSE()),0)))</f>
        <v/>
      </c>
      <c r="G361" s="16" t="str">
        <f aca="false">IF(A361="","",IF(F361&gt;=20,"Gold",IF(F361&gt;=14,"Silver",IF(F361&gt;=8,"Bronze","—"))))</f>
        <v/>
      </c>
      <c r="H361" s="16" t="str">
        <f aca="false">IF(A361="","",IFERROR(TEXT(maxifs(Completions!G:G,Completions!A:A,A361),"yyyy-mm-dd hh:mm"),"—"))</f>
        <v/>
      </c>
    </row>
    <row r="362" customFormat="false" ht="21.75" hidden="false" customHeight="true" outlineLevel="0" collapsed="false">
      <c r="A362" s="17" t="str">
        <f aca="false">IFERROR(IF(Members!A359="","",Members!A359),"")</f>
        <v/>
      </c>
      <c r="B362" s="17" t="str">
        <f aca="false">IFERROR(IF(Members!A359="","",Members!B359),"")</f>
        <v/>
      </c>
      <c r="C362" s="17" t="str">
        <f aca="false">IFERROR(IF(Members!A359="","",Members!C359),"")</f>
        <v/>
      </c>
      <c r="D362" s="17" t="str">
        <f aca="false">IFERROR(IF(Members!A359="","",Members!D359),"")</f>
        <v/>
      </c>
      <c r="E362" s="17" t="str">
        <f aca="false">IF(A362="","",COUNTIF(Completions!A:A,A362))</f>
        <v/>
      </c>
      <c r="F362" s="17" t="str">
        <f aca="false">IF(A362="","",SUMPRODUCT((Completions!A$2:A$5000=A362)*IFERROR(VLOOKUP(Completions!B$2:B$5000,$J$4:$K$18,2,FALSE()),0)))</f>
        <v/>
      </c>
      <c r="G362" s="17" t="str">
        <f aca="false">IF(A362="","",IF(F362&gt;=20,"Gold",IF(F362&gt;=14,"Silver",IF(F362&gt;=8,"Bronze","—"))))</f>
        <v/>
      </c>
      <c r="H362" s="17" t="str">
        <f aca="false">IF(A362="","",IFERROR(TEXT(maxifs(Completions!G:G,Completions!A:A,A362),"yyyy-mm-dd hh:mm"),"—"))</f>
        <v/>
      </c>
    </row>
    <row r="363" customFormat="false" ht="21.75" hidden="false" customHeight="true" outlineLevel="0" collapsed="false">
      <c r="A363" s="16" t="str">
        <f aca="false">IFERROR(IF(Members!A360="","",Members!A360),"")</f>
        <v/>
      </c>
      <c r="B363" s="16" t="str">
        <f aca="false">IFERROR(IF(Members!A360="","",Members!B360),"")</f>
        <v/>
      </c>
      <c r="C363" s="16" t="str">
        <f aca="false">IFERROR(IF(Members!A360="","",Members!C360),"")</f>
        <v/>
      </c>
      <c r="D363" s="16" t="str">
        <f aca="false">IFERROR(IF(Members!A360="","",Members!D360),"")</f>
        <v/>
      </c>
      <c r="E363" s="16" t="str">
        <f aca="false">IF(A363="","",COUNTIF(Completions!A:A,A363))</f>
        <v/>
      </c>
      <c r="F363" s="16" t="str">
        <f aca="false">IF(A363="","",SUMPRODUCT((Completions!A$2:A$5000=A363)*IFERROR(VLOOKUP(Completions!B$2:B$5000,$J$4:$K$18,2,FALSE()),0)))</f>
        <v/>
      </c>
      <c r="G363" s="16" t="str">
        <f aca="false">IF(A363="","",IF(F363&gt;=20,"Gold",IF(F363&gt;=14,"Silver",IF(F363&gt;=8,"Bronze","—"))))</f>
        <v/>
      </c>
      <c r="H363" s="16" t="str">
        <f aca="false">IF(A363="","",IFERROR(TEXT(maxifs(Completions!G:G,Completions!A:A,A363),"yyyy-mm-dd hh:mm"),"—"))</f>
        <v/>
      </c>
    </row>
    <row r="364" customFormat="false" ht="21.75" hidden="false" customHeight="true" outlineLevel="0" collapsed="false">
      <c r="A364" s="17" t="str">
        <f aca="false">IFERROR(IF(Members!A361="","",Members!A361),"")</f>
        <v/>
      </c>
      <c r="B364" s="17" t="str">
        <f aca="false">IFERROR(IF(Members!A361="","",Members!B361),"")</f>
        <v/>
      </c>
      <c r="C364" s="17" t="str">
        <f aca="false">IFERROR(IF(Members!A361="","",Members!C361),"")</f>
        <v/>
      </c>
      <c r="D364" s="17" t="str">
        <f aca="false">IFERROR(IF(Members!A361="","",Members!D361),"")</f>
        <v/>
      </c>
      <c r="E364" s="17" t="str">
        <f aca="false">IF(A364="","",COUNTIF(Completions!A:A,A364))</f>
        <v/>
      </c>
      <c r="F364" s="17" t="str">
        <f aca="false">IF(A364="","",SUMPRODUCT((Completions!A$2:A$5000=A364)*IFERROR(VLOOKUP(Completions!B$2:B$5000,$J$4:$K$18,2,FALSE()),0)))</f>
        <v/>
      </c>
      <c r="G364" s="17" t="str">
        <f aca="false">IF(A364="","",IF(F364&gt;=20,"Gold",IF(F364&gt;=14,"Silver",IF(F364&gt;=8,"Bronze","—"))))</f>
        <v/>
      </c>
      <c r="H364" s="17" t="str">
        <f aca="false">IF(A364="","",IFERROR(TEXT(maxifs(Completions!G:G,Completions!A:A,A364),"yyyy-mm-dd hh:mm"),"—"))</f>
        <v/>
      </c>
    </row>
    <row r="365" customFormat="false" ht="21.75" hidden="false" customHeight="true" outlineLevel="0" collapsed="false">
      <c r="A365" s="16" t="str">
        <f aca="false">IFERROR(IF(Members!A362="","",Members!A362),"")</f>
        <v/>
      </c>
      <c r="B365" s="16" t="str">
        <f aca="false">IFERROR(IF(Members!A362="","",Members!B362),"")</f>
        <v/>
      </c>
      <c r="C365" s="16" t="str">
        <f aca="false">IFERROR(IF(Members!A362="","",Members!C362),"")</f>
        <v/>
      </c>
      <c r="D365" s="16" t="str">
        <f aca="false">IFERROR(IF(Members!A362="","",Members!D362),"")</f>
        <v/>
      </c>
      <c r="E365" s="16" t="str">
        <f aca="false">IF(A365="","",COUNTIF(Completions!A:A,A365))</f>
        <v/>
      </c>
      <c r="F365" s="16" t="str">
        <f aca="false">IF(A365="","",SUMPRODUCT((Completions!A$2:A$5000=A365)*IFERROR(VLOOKUP(Completions!B$2:B$5000,$J$4:$K$18,2,FALSE()),0)))</f>
        <v/>
      </c>
      <c r="G365" s="16" t="str">
        <f aca="false">IF(A365="","",IF(F365&gt;=20,"Gold",IF(F365&gt;=14,"Silver",IF(F365&gt;=8,"Bronze","—"))))</f>
        <v/>
      </c>
      <c r="H365" s="16" t="str">
        <f aca="false">IF(A365="","",IFERROR(TEXT(maxifs(Completions!G:G,Completions!A:A,A365),"yyyy-mm-dd hh:mm"),"—"))</f>
        <v/>
      </c>
    </row>
    <row r="366" customFormat="false" ht="21.75" hidden="false" customHeight="true" outlineLevel="0" collapsed="false">
      <c r="A366" s="17" t="str">
        <f aca="false">IFERROR(IF(Members!A363="","",Members!A363),"")</f>
        <v/>
      </c>
      <c r="B366" s="17" t="str">
        <f aca="false">IFERROR(IF(Members!A363="","",Members!B363),"")</f>
        <v/>
      </c>
      <c r="C366" s="17" t="str">
        <f aca="false">IFERROR(IF(Members!A363="","",Members!C363),"")</f>
        <v/>
      </c>
      <c r="D366" s="17" t="str">
        <f aca="false">IFERROR(IF(Members!A363="","",Members!D363),"")</f>
        <v/>
      </c>
      <c r="E366" s="17" t="str">
        <f aca="false">IF(A366="","",COUNTIF(Completions!A:A,A366))</f>
        <v/>
      </c>
      <c r="F366" s="17" t="str">
        <f aca="false">IF(A366="","",SUMPRODUCT((Completions!A$2:A$5000=A366)*IFERROR(VLOOKUP(Completions!B$2:B$5000,$J$4:$K$18,2,FALSE()),0)))</f>
        <v/>
      </c>
      <c r="G366" s="17" t="str">
        <f aca="false">IF(A366="","",IF(F366&gt;=20,"Gold",IF(F366&gt;=14,"Silver",IF(F366&gt;=8,"Bronze","—"))))</f>
        <v/>
      </c>
      <c r="H366" s="17" t="str">
        <f aca="false">IF(A366="","",IFERROR(TEXT(maxifs(Completions!G:G,Completions!A:A,A366),"yyyy-mm-dd hh:mm"),"—"))</f>
        <v/>
      </c>
    </row>
    <row r="367" customFormat="false" ht="21.75" hidden="false" customHeight="true" outlineLevel="0" collapsed="false">
      <c r="A367" s="16" t="str">
        <f aca="false">IFERROR(IF(Members!A364="","",Members!A364),"")</f>
        <v/>
      </c>
      <c r="B367" s="16" t="str">
        <f aca="false">IFERROR(IF(Members!A364="","",Members!B364),"")</f>
        <v/>
      </c>
      <c r="C367" s="16" t="str">
        <f aca="false">IFERROR(IF(Members!A364="","",Members!C364),"")</f>
        <v/>
      </c>
      <c r="D367" s="16" t="str">
        <f aca="false">IFERROR(IF(Members!A364="","",Members!D364),"")</f>
        <v/>
      </c>
      <c r="E367" s="16" t="str">
        <f aca="false">IF(A367="","",COUNTIF(Completions!A:A,A367))</f>
        <v/>
      </c>
      <c r="F367" s="16" t="str">
        <f aca="false">IF(A367="","",SUMPRODUCT((Completions!A$2:A$5000=A367)*IFERROR(VLOOKUP(Completions!B$2:B$5000,$J$4:$K$18,2,FALSE()),0)))</f>
        <v/>
      </c>
      <c r="G367" s="16" t="str">
        <f aca="false">IF(A367="","",IF(F367&gt;=20,"Gold",IF(F367&gt;=14,"Silver",IF(F367&gt;=8,"Bronze","—"))))</f>
        <v/>
      </c>
      <c r="H367" s="16" t="str">
        <f aca="false">IF(A367="","",IFERROR(TEXT(maxifs(Completions!G:G,Completions!A:A,A367),"yyyy-mm-dd hh:mm"),"—"))</f>
        <v/>
      </c>
    </row>
    <row r="368" customFormat="false" ht="21.75" hidden="false" customHeight="true" outlineLevel="0" collapsed="false">
      <c r="A368" s="17" t="str">
        <f aca="false">IFERROR(IF(Members!A365="","",Members!A365),"")</f>
        <v/>
      </c>
      <c r="B368" s="17" t="str">
        <f aca="false">IFERROR(IF(Members!A365="","",Members!B365),"")</f>
        <v/>
      </c>
      <c r="C368" s="17" t="str">
        <f aca="false">IFERROR(IF(Members!A365="","",Members!C365),"")</f>
        <v/>
      </c>
      <c r="D368" s="17" t="str">
        <f aca="false">IFERROR(IF(Members!A365="","",Members!D365),"")</f>
        <v/>
      </c>
      <c r="E368" s="17" t="str">
        <f aca="false">IF(A368="","",COUNTIF(Completions!A:A,A368))</f>
        <v/>
      </c>
      <c r="F368" s="17" t="str">
        <f aca="false">IF(A368="","",SUMPRODUCT((Completions!A$2:A$5000=A368)*IFERROR(VLOOKUP(Completions!B$2:B$5000,$J$4:$K$18,2,FALSE()),0)))</f>
        <v/>
      </c>
      <c r="G368" s="17" t="str">
        <f aca="false">IF(A368="","",IF(F368&gt;=20,"Gold",IF(F368&gt;=14,"Silver",IF(F368&gt;=8,"Bronze","—"))))</f>
        <v/>
      </c>
      <c r="H368" s="17" t="str">
        <f aca="false">IF(A368="","",IFERROR(TEXT(maxifs(Completions!G:G,Completions!A:A,A368),"yyyy-mm-dd hh:mm"),"—"))</f>
        <v/>
      </c>
    </row>
    <row r="369" customFormat="false" ht="21.75" hidden="false" customHeight="true" outlineLevel="0" collapsed="false">
      <c r="A369" s="16" t="str">
        <f aca="false">IFERROR(IF(Members!A366="","",Members!A366),"")</f>
        <v/>
      </c>
      <c r="B369" s="16" t="str">
        <f aca="false">IFERROR(IF(Members!A366="","",Members!B366),"")</f>
        <v/>
      </c>
      <c r="C369" s="16" t="str">
        <f aca="false">IFERROR(IF(Members!A366="","",Members!C366),"")</f>
        <v/>
      </c>
      <c r="D369" s="16" t="str">
        <f aca="false">IFERROR(IF(Members!A366="","",Members!D366),"")</f>
        <v/>
      </c>
      <c r="E369" s="16" t="str">
        <f aca="false">IF(A369="","",COUNTIF(Completions!A:A,A369))</f>
        <v/>
      </c>
      <c r="F369" s="16" t="str">
        <f aca="false">IF(A369="","",SUMPRODUCT((Completions!A$2:A$5000=A369)*IFERROR(VLOOKUP(Completions!B$2:B$5000,$J$4:$K$18,2,FALSE()),0)))</f>
        <v/>
      </c>
      <c r="G369" s="16" t="str">
        <f aca="false">IF(A369="","",IF(F369&gt;=20,"Gold",IF(F369&gt;=14,"Silver",IF(F369&gt;=8,"Bronze","—"))))</f>
        <v/>
      </c>
      <c r="H369" s="16" t="str">
        <f aca="false">IF(A369="","",IFERROR(TEXT(maxifs(Completions!G:G,Completions!A:A,A369),"yyyy-mm-dd hh:mm"),"—"))</f>
        <v/>
      </c>
    </row>
    <row r="370" customFormat="false" ht="21.75" hidden="false" customHeight="true" outlineLevel="0" collapsed="false">
      <c r="A370" s="17" t="str">
        <f aca="false">IFERROR(IF(Members!A367="","",Members!A367),"")</f>
        <v/>
      </c>
      <c r="B370" s="17" t="str">
        <f aca="false">IFERROR(IF(Members!A367="","",Members!B367),"")</f>
        <v/>
      </c>
      <c r="C370" s="17" t="str">
        <f aca="false">IFERROR(IF(Members!A367="","",Members!C367),"")</f>
        <v/>
      </c>
      <c r="D370" s="17" t="str">
        <f aca="false">IFERROR(IF(Members!A367="","",Members!D367),"")</f>
        <v/>
      </c>
      <c r="E370" s="17" t="str">
        <f aca="false">IF(A370="","",COUNTIF(Completions!A:A,A370))</f>
        <v/>
      </c>
      <c r="F370" s="17" t="str">
        <f aca="false">IF(A370="","",SUMPRODUCT((Completions!A$2:A$5000=A370)*IFERROR(VLOOKUP(Completions!B$2:B$5000,$J$4:$K$18,2,FALSE()),0)))</f>
        <v/>
      </c>
      <c r="G370" s="17" t="str">
        <f aca="false">IF(A370="","",IF(F370&gt;=20,"Gold",IF(F370&gt;=14,"Silver",IF(F370&gt;=8,"Bronze","—"))))</f>
        <v/>
      </c>
      <c r="H370" s="17" t="str">
        <f aca="false">IF(A370="","",IFERROR(TEXT(maxifs(Completions!G:G,Completions!A:A,A370),"yyyy-mm-dd hh:mm"),"—"))</f>
        <v/>
      </c>
    </row>
    <row r="371" customFormat="false" ht="21.75" hidden="false" customHeight="true" outlineLevel="0" collapsed="false">
      <c r="A371" s="16" t="str">
        <f aca="false">IFERROR(IF(Members!A368="","",Members!A368),"")</f>
        <v/>
      </c>
      <c r="B371" s="16" t="str">
        <f aca="false">IFERROR(IF(Members!A368="","",Members!B368),"")</f>
        <v/>
      </c>
      <c r="C371" s="16" t="str">
        <f aca="false">IFERROR(IF(Members!A368="","",Members!C368),"")</f>
        <v/>
      </c>
      <c r="D371" s="16" t="str">
        <f aca="false">IFERROR(IF(Members!A368="","",Members!D368),"")</f>
        <v/>
      </c>
      <c r="E371" s="16" t="str">
        <f aca="false">IF(A371="","",COUNTIF(Completions!A:A,A371))</f>
        <v/>
      </c>
      <c r="F371" s="16" t="str">
        <f aca="false">IF(A371="","",SUMPRODUCT((Completions!A$2:A$5000=A371)*IFERROR(VLOOKUP(Completions!B$2:B$5000,$J$4:$K$18,2,FALSE()),0)))</f>
        <v/>
      </c>
      <c r="G371" s="16" t="str">
        <f aca="false">IF(A371="","",IF(F371&gt;=20,"Gold",IF(F371&gt;=14,"Silver",IF(F371&gt;=8,"Bronze","—"))))</f>
        <v/>
      </c>
      <c r="H371" s="16" t="str">
        <f aca="false">IF(A371="","",IFERROR(TEXT(maxifs(Completions!G:G,Completions!A:A,A371),"yyyy-mm-dd hh:mm"),"—"))</f>
        <v/>
      </c>
    </row>
    <row r="372" customFormat="false" ht="21.75" hidden="false" customHeight="true" outlineLevel="0" collapsed="false">
      <c r="A372" s="17" t="str">
        <f aca="false">IFERROR(IF(Members!A369="","",Members!A369),"")</f>
        <v/>
      </c>
      <c r="B372" s="17" t="str">
        <f aca="false">IFERROR(IF(Members!A369="","",Members!B369),"")</f>
        <v/>
      </c>
      <c r="C372" s="17" t="str">
        <f aca="false">IFERROR(IF(Members!A369="","",Members!C369),"")</f>
        <v/>
      </c>
      <c r="D372" s="17" t="str">
        <f aca="false">IFERROR(IF(Members!A369="","",Members!D369),"")</f>
        <v/>
      </c>
      <c r="E372" s="17" t="str">
        <f aca="false">IF(A372="","",COUNTIF(Completions!A:A,A372))</f>
        <v/>
      </c>
      <c r="F372" s="17" t="str">
        <f aca="false">IF(A372="","",SUMPRODUCT((Completions!A$2:A$5000=A372)*IFERROR(VLOOKUP(Completions!B$2:B$5000,$J$4:$K$18,2,FALSE()),0)))</f>
        <v/>
      </c>
      <c r="G372" s="17" t="str">
        <f aca="false">IF(A372="","",IF(F372&gt;=20,"Gold",IF(F372&gt;=14,"Silver",IF(F372&gt;=8,"Bronze","—"))))</f>
        <v/>
      </c>
      <c r="H372" s="17" t="str">
        <f aca="false">IF(A372="","",IFERROR(TEXT(maxifs(Completions!G:G,Completions!A:A,A372),"yyyy-mm-dd hh:mm"),"—"))</f>
        <v/>
      </c>
    </row>
    <row r="373" customFormat="false" ht="21.75" hidden="false" customHeight="true" outlineLevel="0" collapsed="false">
      <c r="A373" s="16" t="str">
        <f aca="false">IFERROR(IF(Members!A370="","",Members!A370),"")</f>
        <v/>
      </c>
      <c r="B373" s="16" t="str">
        <f aca="false">IFERROR(IF(Members!A370="","",Members!B370),"")</f>
        <v/>
      </c>
      <c r="C373" s="16" t="str">
        <f aca="false">IFERROR(IF(Members!A370="","",Members!C370),"")</f>
        <v/>
      </c>
      <c r="D373" s="16" t="str">
        <f aca="false">IFERROR(IF(Members!A370="","",Members!D370),"")</f>
        <v/>
      </c>
      <c r="E373" s="16" t="str">
        <f aca="false">IF(A373="","",COUNTIF(Completions!A:A,A373))</f>
        <v/>
      </c>
      <c r="F373" s="16" t="str">
        <f aca="false">IF(A373="","",SUMPRODUCT((Completions!A$2:A$5000=A373)*IFERROR(VLOOKUP(Completions!B$2:B$5000,$J$4:$K$18,2,FALSE()),0)))</f>
        <v/>
      </c>
      <c r="G373" s="16" t="str">
        <f aca="false">IF(A373="","",IF(F373&gt;=20,"Gold",IF(F373&gt;=14,"Silver",IF(F373&gt;=8,"Bronze","—"))))</f>
        <v/>
      </c>
      <c r="H373" s="16" t="str">
        <f aca="false">IF(A373="","",IFERROR(TEXT(maxifs(Completions!G:G,Completions!A:A,A373),"yyyy-mm-dd hh:mm"),"—"))</f>
        <v/>
      </c>
    </row>
    <row r="374" customFormat="false" ht="21.75" hidden="false" customHeight="true" outlineLevel="0" collapsed="false">
      <c r="A374" s="17" t="str">
        <f aca="false">IFERROR(IF(Members!A371="","",Members!A371),"")</f>
        <v/>
      </c>
      <c r="B374" s="17" t="str">
        <f aca="false">IFERROR(IF(Members!A371="","",Members!B371),"")</f>
        <v/>
      </c>
      <c r="C374" s="17" t="str">
        <f aca="false">IFERROR(IF(Members!A371="","",Members!C371),"")</f>
        <v/>
      </c>
      <c r="D374" s="17" t="str">
        <f aca="false">IFERROR(IF(Members!A371="","",Members!D371),"")</f>
        <v/>
      </c>
      <c r="E374" s="17" t="str">
        <f aca="false">IF(A374="","",COUNTIF(Completions!A:A,A374))</f>
        <v/>
      </c>
      <c r="F374" s="17" t="str">
        <f aca="false">IF(A374="","",SUMPRODUCT((Completions!A$2:A$5000=A374)*IFERROR(VLOOKUP(Completions!B$2:B$5000,$J$4:$K$18,2,FALSE()),0)))</f>
        <v/>
      </c>
      <c r="G374" s="17" t="str">
        <f aca="false">IF(A374="","",IF(F374&gt;=20,"Gold",IF(F374&gt;=14,"Silver",IF(F374&gt;=8,"Bronze","—"))))</f>
        <v/>
      </c>
      <c r="H374" s="17" t="str">
        <f aca="false">IF(A374="","",IFERROR(TEXT(maxifs(Completions!G:G,Completions!A:A,A374),"yyyy-mm-dd hh:mm"),"—"))</f>
        <v/>
      </c>
    </row>
    <row r="375" customFormat="false" ht="21.75" hidden="false" customHeight="true" outlineLevel="0" collapsed="false">
      <c r="A375" s="16" t="str">
        <f aca="false">IFERROR(IF(Members!A372="","",Members!A372),"")</f>
        <v/>
      </c>
      <c r="B375" s="16" t="str">
        <f aca="false">IFERROR(IF(Members!A372="","",Members!B372),"")</f>
        <v/>
      </c>
      <c r="C375" s="16" t="str">
        <f aca="false">IFERROR(IF(Members!A372="","",Members!C372),"")</f>
        <v/>
      </c>
      <c r="D375" s="16" t="str">
        <f aca="false">IFERROR(IF(Members!A372="","",Members!D372),"")</f>
        <v/>
      </c>
      <c r="E375" s="16" t="str">
        <f aca="false">IF(A375="","",COUNTIF(Completions!A:A,A375))</f>
        <v/>
      </c>
      <c r="F375" s="16" t="str">
        <f aca="false">IF(A375="","",SUMPRODUCT((Completions!A$2:A$5000=A375)*IFERROR(VLOOKUP(Completions!B$2:B$5000,$J$4:$K$18,2,FALSE()),0)))</f>
        <v/>
      </c>
      <c r="G375" s="16" t="str">
        <f aca="false">IF(A375="","",IF(F375&gt;=20,"Gold",IF(F375&gt;=14,"Silver",IF(F375&gt;=8,"Bronze","—"))))</f>
        <v/>
      </c>
      <c r="H375" s="16" t="str">
        <f aca="false">IF(A375="","",IFERROR(TEXT(maxifs(Completions!G:G,Completions!A:A,A375),"yyyy-mm-dd hh:mm"),"—"))</f>
        <v/>
      </c>
    </row>
    <row r="376" customFormat="false" ht="21.75" hidden="false" customHeight="true" outlineLevel="0" collapsed="false">
      <c r="A376" s="17" t="str">
        <f aca="false">IFERROR(IF(Members!A373="","",Members!A373),"")</f>
        <v/>
      </c>
      <c r="B376" s="17" t="str">
        <f aca="false">IFERROR(IF(Members!A373="","",Members!B373),"")</f>
        <v/>
      </c>
      <c r="C376" s="17" t="str">
        <f aca="false">IFERROR(IF(Members!A373="","",Members!C373),"")</f>
        <v/>
      </c>
      <c r="D376" s="17" t="str">
        <f aca="false">IFERROR(IF(Members!A373="","",Members!D373),"")</f>
        <v/>
      </c>
      <c r="E376" s="17" t="str">
        <f aca="false">IF(A376="","",COUNTIF(Completions!A:A,A376))</f>
        <v/>
      </c>
      <c r="F376" s="17" t="str">
        <f aca="false">IF(A376="","",SUMPRODUCT((Completions!A$2:A$5000=A376)*IFERROR(VLOOKUP(Completions!B$2:B$5000,$J$4:$K$18,2,FALSE()),0)))</f>
        <v/>
      </c>
      <c r="G376" s="17" t="str">
        <f aca="false">IF(A376="","",IF(F376&gt;=20,"Gold",IF(F376&gt;=14,"Silver",IF(F376&gt;=8,"Bronze","—"))))</f>
        <v/>
      </c>
      <c r="H376" s="17" t="str">
        <f aca="false">IF(A376="","",IFERROR(TEXT(maxifs(Completions!G:G,Completions!A:A,A376),"yyyy-mm-dd hh:mm"),"—"))</f>
        <v/>
      </c>
    </row>
    <row r="377" customFormat="false" ht="21.75" hidden="false" customHeight="true" outlineLevel="0" collapsed="false">
      <c r="A377" s="16" t="str">
        <f aca="false">IFERROR(IF(Members!A374="","",Members!A374),"")</f>
        <v/>
      </c>
      <c r="B377" s="16" t="str">
        <f aca="false">IFERROR(IF(Members!A374="","",Members!B374),"")</f>
        <v/>
      </c>
      <c r="C377" s="16" t="str">
        <f aca="false">IFERROR(IF(Members!A374="","",Members!C374),"")</f>
        <v/>
      </c>
      <c r="D377" s="16" t="str">
        <f aca="false">IFERROR(IF(Members!A374="","",Members!D374),"")</f>
        <v/>
      </c>
      <c r="E377" s="16" t="str">
        <f aca="false">IF(A377="","",COUNTIF(Completions!A:A,A377))</f>
        <v/>
      </c>
      <c r="F377" s="16" t="str">
        <f aca="false">IF(A377="","",SUMPRODUCT((Completions!A$2:A$5000=A377)*IFERROR(VLOOKUP(Completions!B$2:B$5000,$J$4:$K$18,2,FALSE()),0)))</f>
        <v/>
      </c>
      <c r="G377" s="16" t="str">
        <f aca="false">IF(A377="","",IF(F377&gt;=20,"Gold",IF(F377&gt;=14,"Silver",IF(F377&gt;=8,"Bronze","—"))))</f>
        <v/>
      </c>
      <c r="H377" s="16" t="str">
        <f aca="false">IF(A377="","",IFERROR(TEXT(maxifs(Completions!G:G,Completions!A:A,A377),"yyyy-mm-dd hh:mm"),"—"))</f>
        <v/>
      </c>
    </row>
    <row r="378" customFormat="false" ht="21.75" hidden="false" customHeight="true" outlineLevel="0" collapsed="false">
      <c r="A378" s="17" t="str">
        <f aca="false">IFERROR(IF(Members!A375="","",Members!A375),"")</f>
        <v/>
      </c>
      <c r="B378" s="17" t="str">
        <f aca="false">IFERROR(IF(Members!A375="","",Members!B375),"")</f>
        <v/>
      </c>
      <c r="C378" s="17" t="str">
        <f aca="false">IFERROR(IF(Members!A375="","",Members!C375),"")</f>
        <v/>
      </c>
      <c r="D378" s="17" t="str">
        <f aca="false">IFERROR(IF(Members!A375="","",Members!D375),"")</f>
        <v/>
      </c>
      <c r="E378" s="17" t="str">
        <f aca="false">IF(A378="","",COUNTIF(Completions!A:A,A378))</f>
        <v/>
      </c>
      <c r="F378" s="17" t="str">
        <f aca="false">IF(A378="","",SUMPRODUCT((Completions!A$2:A$5000=A378)*IFERROR(VLOOKUP(Completions!B$2:B$5000,$J$4:$K$18,2,FALSE()),0)))</f>
        <v/>
      </c>
      <c r="G378" s="17" t="str">
        <f aca="false">IF(A378="","",IF(F378&gt;=20,"Gold",IF(F378&gt;=14,"Silver",IF(F378&gt;=8,"Bronze","—"))))</f>
        <v/>
      </c>
      <c r="H378" s="17" t="str">
        <f aca="false">IF(A378="","",IFERROR(TEXT(maxifs(Completions!G:G,Completions!A:A,A378),"yyyy-mm-dd hh:mm"),"—"))</f>
        <v/>
      </c>
    </row>
    <row r="379" customFormat="false" ht="21.75" hidden="false" customHeight="true" outlineLevel="0" collapsed="false">
      <c r="A379" s="16" t="str">
        <f aca="false">IFERROR(IF(Members!A376="","",Members!A376),"")</f>
        <v/>
      </c>
      <c r="B379" s="16" t="str">
        <f aca="false">IFERROR(IF(Members!A376="","",Members!B376),"")</f>
        <v/>
      </c>
      <c r="C379" s="16" t="str">
        <f aca="false">IFERROR(IF(Members!A376="","",Members!C376),"")</f>
        <v/>
      </c>
      <c r="D379" s="16" t="str">
        <f aca="false">IFERROR(IF(Members!A376="","",Members!D376),"")</f>
        <v/>
      </c>
      <c r="E379" s="16" t="str">
        <f aca="false">IF(A379="","",COUNTIF(Completions!A:A,A379))</f>
        <v/>
      </c>
      <c r="F379" s="16" t="str">
        <f aca="false">IF(A379="","",SUMPRODUCT((Completions!A$2:A$5000=A379)*IFERROR(VLOOKUP(Completions!B$2:B$5000,$J$4:$K$18,2,FALSE()),0)))</f>
        <v/>
      </c>
      <c r="G379" s="16" t="str">
        <f aca="false">IF(A379="","",IF(F379&gt;=20,"Gold",IF(F379&gt;=14,"Silver",IF(F379&gt;=8,"Bronze","—"))))</f>
        <v/>
      </c>
      <c r="H379" s="16" t="str">
        <f aca="false">IF(A379="","",IFERROR(TEXT(maxifs(Completions!G:G,Completions!A:A,A379),"yyyy-mm-dd hh:mm"),"—"))</f>
        <v/>
      </c>
    </row>
    <row r="380" customFormat="false" ht="21.75" hidden="false" customHeight="true" outlineLevel="0" collapsed="false">
      <c r="A380" s="17" t="str">
        <f aca="false">IFERROR(IF(Members!A377="","",Members!A377),"")</f>
        <v/>
      </c>
      <c r="B380" s="17" t="str">
        <f aca="false">IFERROR(IF(Members!A377="","",Members!B377),"")</f>
        <v/>
      </c>
      <c r="C380" s="17" t="str">
        <f aca="false">IFERROR(IF(Members!A377="","",Members!C377),"")</f>
        <v/>
      </c>
      <c r="D380" s="17" t="str">
        <f aca="false">IFERROR(IF(Members!A377="","",Members!D377),"")</f>
        <v/>
      </c>
      <c r="E380" s="17" t="str">
        <f aca="false">IF(A380="","",COUNTIF(Completions!A:A,A380))</f>
        <v/>
      </c>
      <c r="F380" s="17" t="str">
        <f aca="false">IF(A380="","",SUMPRODUCT((Completions!A$2:A$5000=A380)*IFERROR(VLOOKUP(Completions!B$2:B$5000,$J$4:$K$18,2,FALSE()),0)))</f>
        <v/>
      </c>
      <c r="G380" s="17" t="str">
        <f aca="false">IF(A380="","",IF(F380&gt;=20,"Gold",IF(F380&gt;=14,"Silver",IF(F380&gt;=8,"Bronze","—"))))</f>
        <v/>
      </c>
      <c r="H380" s="17" t="str">
        <f aca="false">IF(A380="","",IFERROR(TEXT(maxifs(Completions!G:G,Completions!A:A,A380),"yyyy-mm-dd hh:mm"),"—"))</f>
        <v/>
      </c>
    </row>
    <row r="381" customFormat="false" ht="21.75" hidden="false" customHeight="true" outlineLevel="0" collapsed="false">
      <c r="A381" s="16" t="str">
        <f aca="false">IFERROR(IF(Members!A378="","",Members!A378),"")</f>
        <v/>
      </c>
      <c r="B381" s="16" t="str">
        <f aca="false">IFERROR(IF(Members!A378="","",Members!B378),"")</f>
        <v/>
      </c>
      <c r="C381" s="16" t="str">
        <f aca="false">IFERROR(IF(Members!A378="","",Members!C378),"")</f>
        <v/>
      </c>
      <c r="D381" s="16" t="str">
        <f aca="false">IFERROR(IF(Members!A378="","",Members!D378),"")</f>
        <v/>
      </c>
      <c r="E381" s="16" t="str">
        <f aca="false">IF(A381="","",COUNTIF(Completions!A:A,A381))</f>
        <v/>
      </c>
      <c r="F381" s="16" t="str">
        <f aca="false">IF(A381="","",SUMPRODUCT((Completions!A$2:A$5000=A381)*IFERROR(VLOOKUP(Completions!B$2:B$5000,$J$4:$K$18,2,FALSE()),0)))</f>
        <v/>
      </c>
      <c r="G381" s="16" t="str">
        <f aca="false">IF(A381="","",IF(F381&gt;=20,"Gold",IF(F381&gt;=14,"Silver",IF(F381&gt;=8,"Bronze","—"))))</f>
        <v/>
      </c>
      <c r="H381" s="16" t="str">
        <f aca="false">IF(A381="","",IFERROR(TEXT(maxifs(Completions!G:G,Completions!A:A,A381),"yyyy-mm-dd hh:mm"),"—"))</f>
        <v/>
      </c>
    </row>
    <row r="382" customFormat="false" ht="21.75" hidden="false" customHeight="true" outlineLevel="0" collapsed="false">
      <c r="A382" s="17" t="str">
        <f aca="false">IFERROR(IF(Members!A379="","",Members!A379),"")</f>
        <v/>
      </c>
      <c r="B382" s="17" t="str">
        <f aca="false">IFERROR(IF(Members!A379="","",Members!B379),"")</f>
        <v/>
      </c>
      <c r="C382" s="17" t="str">
        <f aca="false">IFERROR(IF(Members!A379="","",Members!C379),"")</f>
        <v/>
      </c>
      <c r="D382" s="17" t="str">
        <f aca="false">IFERROR(IF(Members!A379="","",Members!D379),"")</f>
        <v/>
      </c>
      <c r="E382" s="17" t="str">
        <f aca="false">IF(A382="","",COUNTIF(Completions!A:A,A382))</f>
        <v/>
      </c>
      <c r="F382" s="17" t="str">
        <f aca="false">IF(A382="","",SUMPRODUCT((Completions!A$2:A$5000=A382)*IFERROR(VLOOKUP(Completions!B$2:B$5000,$J$4:$K$18,2,FALSE()),0)))</f>
        <v/>
      </c>
      <c r="G382" s="17" t="str">
        <f aca="false">IF(A382="","",IF(F382&gt;=20,"Gold",IF(F382&gt;=14,"Silver",IF(F382&gt;=8,"Bronze","—"))))</f>
        <v/>
      </c>
      <c r="H382" s="17" t="str">
        <f aca="false">IF(A382="","",IFERROR(TEXT(maxifs(Completions!G:G,Completions!A:A,A382),"yyyy-mm-dd hh:mm"),"—"))</f>
        <v/>
      </c>
    </row>
    <row r="383" customFormat="false" ht="21.75" hidden="false" customHeight="true" outlineLevel="0" collapsed="false">
      <c r="A383" s="16" t="str">
        <f aca="false">IFERROR(IF(Members!A380="","",Members!A380),"")</f>
        <v/>
      </c>
      <c r="B383" s="16" t="str">
        <f aca="false">IFERROR(IF(Members!A380="","",Members!B380),"")</f>
        <v/>
      </c>
      <c r="C383" s="16" t="str">
        <f aca="false">IFERROR(IF(Members!A380="","",Members!C380),"")</f>
        <v/>
      </c>
      <c r="D383" s="16" t="str">
        <f aca="false">IFERROR(IF(Members!A380="","",Members!D380),"")</f>
        <v/>
      </c>
      <c r="E383" s="16" t="str">
        <f aca="false">IF(A383="","",COUNTIF(Completions!A:A,A383))</f>
        <v/>
      </c>
      <c r="F383" s="16" t="str">
        <f aca="false">IF(A383="","",SUMPRODUCT((Completions!A$2:A$5000=A383)*IFERROR(VLOOKUP(Completions!B$2:B$5000,$J$4:$K$18,2,FALSE()),0)))</f>
        <v/>
      </c>
      <c r="G383" s="16" t="str">
        <f aca="false">IF(A383="","",IF(F383&gt;=20,"Gold",IF(F383&gt;=14,"Silver",IF(F383&gt;=8,"Bronze","—"))))</f>
        <v/>
      </c>
      <c r="H383" s="16" t="str">
        <f aca="false">IF(A383="","",IFERROR(TEXT(maxifs(Completions!G:G,Completions!A:A,A383),"yyyy-mm-dd hh:mm"),"—"))</f>
        <v/>
      </c>
    </row>
    <row r="384" customFormat="false" ht="21.75" hidden="false" customHeight="true" outlineLevel="0" collapsed="false">
      <c r="A384" s="17" t="str">
        <f aca="false">IFERROR(IF(Members!A381="","",Members!A381),"")</f>
        <v/>
      </c>
      <c r="B384" s="17" t="str">
        <f aca="false">IFERROR(IF(Members!A381="","",Members!B381),"")</f>
        <v/>
      </c>
      <c r="C384" s="17" t="str">
        <f aca="false">IFERROR(IF(Members!A381="","",Members!C381),"")</f>
        <v/>
      </c>
      <c r="D384" s="17" t="str">
        <f aca="false">IFERROR(IF(Members!A381="","",Members!D381),"")</f>
        <v/>
      </c>
      <c r="E384" s="17" t="str">
        <f aca="false">IF(A384="","",COUNTIF(Completions!A:A,A384))</f>
        <v/>
      </c>
      <c r="F384" s="17" t="str">
        <f aca="false">IF(A384="","",SUMPRODUCT((Completions!A$2:A$5000=A384)*IFERROR(VLOOKUP(Completions!B$2:B$5000,$J$4:$K$18,2,FALSE()),0)))</f>
        <v/>
      </c>
      <c r="G384" s="17" t="str">
        <f aca="false">IF(A384="","",IF(F384&gt;=20,"Gold",IF(F384&gt;=14,"Silver",IF(F384&gt;=8,"Bronze","—"))))</f>
        <v/>
      </c>
      <c r="H384" s="17" t="str">
        <f aca="false">IF(A384="","",IFERROR(TEXT(maxifs(Completions!G:G,Completions!A:A,A384),"yyyy-mm-dd hh:mm"),"—"))</f>
        <v/>
      </c>
    </row>
    <row r="385" customFormat="false" ht="21.75" hidden="false" customHeight="true" outlineLevel="0" collapsed="false">
      <c r="A385" s="16" t="str">
        <f aca="false">IFERROR(IF(Members!A382="","",Members!A382),"")</f>
        <v/>
      </c>
      <c r="B385" s="16" t="str">
        <f aca="false">IFERROR(IF(Members!A382="","",Members!B382),"")</f>
        <v/>
      </c>
      <c r="C385" s="16" t="str">
        <f aca="false">IFERROR(IF(Members!A382="","",Members!C382),"")</f>
        <v/>
      </c>
      <c r="D385" s="16" t="str">
        <f aca="false">IFERROR(IF(Members!A382="","",Members!D382),"")</f>
        <v/>
      </c>
      <c r="E385" s="16" t="str">
        <f aca="false">IF(A385="","",COUNTIF(Completions!A:A,A385))</f>
        <v/>
      </c>
      <c r="F385" s="16" t="str">
        <f aca="false">IF(A385="","",SUMPRODUCT((Completions!A$2:A$5000=A385)*IFERROR(VLOOKUP(Completions!B$2:B$5000,$J$4:$K$18,2,FALSE()),0)))</f>
        <v/>
      </c>
      <c r="G385" s="16" t="str">
        <f aca="false">IF(A385="","",IF(F385&gt;=20,"Gold",IF(F385&gt;=14,"Silver",IF(F385&gt;=8,"Bronze","—"))))</f>
        <v/>
      </c>
      <c r="H385" s="16" t="str">
        <f aca="false">IF(A385="","",IFERROR(TEXT(maxifs(Completions!G:G,Completions!A:A,A385),"yyyy-mm-dd hh:mm"),"—"))</f>
        <v/>
      </c>
    </row>
    <row r="386" customFormat="false" ht="21.75" hidden="false" customHeight="true" outlineLevel="0" collapsed="false">
      <c r="A386" s="17" t="str">
        <f aca="false">IFERROR(IF(Members!A383="","",Members!A383),"")</f>
        <v/>
      </c>
      <c r="B386" s="17" t="str">
        <f aca="false">IFERROR(IF(Members!A383="","",Members!B383),"")</f>
        <v/>
      </c>
      <c r="C386" s="17" t="str">
        <f aca="false">IFERROR(IF(Members!A383="","",Members!C383),"")</f>
        <v/>
      </c>
      <c r="D386" s="17" t="str">
        <f aca="false">IFERROR(IF(Members!A383="","",Members!D383),"")</f>
        <v/>
      </c>
      <c r="E386" s="17" t="str">
        <f aca="false">IF(A386="","",COUNTIF(Completions!A:A,A386))</f>
        <v/>
      </c>
      <c r="F386" s="17" t="str">
        <f aca="false">IF(A386="","",SUMPRODUCT((Completions!A$2:A$5000=A386)*IFERROR(VLOOKUP(Completions!B$2:B$5000,$J$4:$K$18,2,FALSE()),0)))</f>
        <v/>
      </c>
      <c r="G386" s="17" t="str">
        <f aca="false">IF(A386="","",IF(F386&gt;=20,"Gold",IF(F386&gt;=14,"Silver",IF(F386&gt;=8,"Bronze","—"))))</f>
        <v/>
      </c>
      <c r="H386" s="17" t="str">
        <f aca="false">IF(A386="","",IFERROR(TEXT(maxifs(Completions!G:G,Completions!A:A,A386),"yyyy-mm-dd hh:mm"),"—"))</f>
        <v/>
      </c>
    </row>
    <row r="387" customFormat="false" ht="21.75" hidden="false" customHeight="true" outlineLevel="0" collapsed="false">
      <c r="A387" s="16" t="str">
        <f aca="false">IFERROR(IF(Members!A384="","",Members!A384),"")</f>
        <v/>
      </c>
      <c r="B387" s="16" t="str">
        <f aca="false">IFERROR(IF(Members!A384="","",Members!B384),"")</f>
        <v/>
      </c>
      <c r="C387" s="16" t="str">
        <f aca="false">IFERROR(IF(Members!A384="","",Members!C384),"")</f>
        <v/>
      </c>
      <c r="D387" s="16" t="str">
        <f aca="false">IFERROR(IF(Members!A384="","",Members!D384),"")</f>
        <v/>
      </c>
      <c r="E387" s="16" t="str">
        <f aca="false">IF(A387="","",COUNTIF(Completions!A:A,A387))</f>
        <v/>
      </c>
      <c r="F387" s="16" t="str">
        <f aca="false">IF(A387="","",SUMPRODUCT((Completions!A$2:A$5000=A387)*IFERROR(VLOOKUP(Completions!B$2:B$5000,$J$4:$K$18,2,FALSE()),0)))</f>
        <v/>
      </c>
      <c r="G387" s="16" t="str">
        <f aca="false">IF(A387="","",IF(F387&gt;=20,"Gold",IF(F387&gt;=14,"Silver",IF(F387&gt;=8,"Bronze","—"))))</f>
        <v/>
      </c>
      <c r="H387" s="16" t="str">
        <f aca="false">IF(A387="","",IFERROR(TEXT(maxifs(Completions!G:G,Completions!A:A,A387),"yyyy-mm-dd hh:mm"),"—"))</f>
        <v/>
      </c>
    </row>
    <row r="388" customFormat="false" ht="21.75" hidden="false" customHeight="true" outlineLevel="0" collapsed="false">
      <c r="A388" s="17" t="str">
        <f aca="false">IFERROR(IF(Members!A385="","",Members!A385),"")</f>
        <v/>
      </c>
      <c r="B388" s="17" t="str">
        <f aca="false">IFERROR(IF(Members!A385="","",Members!B385),"")</f>
        <v/>
      </c>
      <c r="C388" s="17" t="str">
        <f aca="false">IFERROR(IF(Members!A385="","",Members!C385),"")</f>
        <v/>
      </c>
      <c r="D388" s="17" t="str">
        <f aca="false">IFERROR(IF(Members!A385="","",Members!D385),"")</f>
        <v/>
      </c>
      <c r="E388" s="17" t="str">
        <f aca="false">IF(A388="","",COUNTIF(Completions!A:A,A388))</f>
        <v/>
      </c>
      <c r="F388" s="17" t="str">
        <f aca="false">IF(A388="","",SUMPRODUCT((Completions!A$2:A$5000=A388)*IFERROR(VLOOKUP(Completions!B$2:B$5000,$J$4:$K$18,2,FALSE()),0)))</f>
        <v/>
      </c>
      <c r="G388" s="17" t="str">
        <f aca="false">IF(A388="","",IF(F388&gt;=20,"Gold",IF(F388&gt;=14,"Silver",IF(F388&gt;=8,"Bronze","—"))))</f>
        <v/>
      </c>
      <c r="H388" s="17" t="str">
        <f aca="false">IF(A388="","",IFERROR(TEXT(maxifs(Completions!G:G,Completions!A:A,A388),"yyyy-mm-dd hh:mm"),"—"))</f>
        <v/>
      </c>
    </row>
    <row r="389" customFormat="false" ht="21.75" hidden="false" customHeight="true" outlineLevel="0" collapsed="false">
      <c r="A389" s="16" t="str">
        <f aca="false">IFERROR(IF(Members!A386="","",Members!A386),"")</f>
        <v/>
      </c>
      <c r="B389" s="16" t="str">
        <f aca="false">IFERROR(IF(Members!A386="","",Members!B386),"")</f>
        <v/>
      </c>
      <c r="C389" s="16" t="str">
        <f aca="false">IFERROR(IF(Members!A386="","",Members!C386),"")</f>
        <v/>
      </c>
      <c r="D389" s="16" t="str">
        <f aca="false">IFERROR(IF(Members!A386="","",Members!D386),"")</f>
        <v/>
      </c>
      <c r="E389" s="16" t="str">
        <f aca="false">IF(A389="","",COUNTIF(Completions!A:A,A389))</f>
        <v/>
      </c>
      <c r="F389" s="16" t="str">
        <f aca="false">IF(A389="","",SUMPRODUCT((Completions!A$2:A$5000=A389)*IFERROR(VLOOKUP(Completions!B$2:B$5000,$J$4:$K$18,2,FALSE()),0)))</f>
        <v/>
      </c>
      <c r="G389" s="16" t="str">
        <f aca="false">IF(A389="","",IF(F389&gt;=20,"Gold",IF(F389&gt;=14,"Silver",IF(F389&gt;=8,"Bronze","—"))))</f>
        <v/>
      </c>
      <c r="H389" s="16" t="str">
        <f aca="false">IF(A389="","",IFERROR(TEXT(maxifs(Completions!G:G,Completions!A:A,A389),"yyyy-mm-dd hh:mm"),"—"))</f>
        <v/>
      </c>
    </row>
    <row r="390" customFormat="false" ht="21.75" hidden="false" customHeight="true" outlineLevel="0" collapsed="false">
      <c r="A390" s="17" t="str">
        <f aca="false">IFERROR(IF(Members!A387="","",Members!A387),"")</f>
        <v/>
      </c>
      <c r="B390" s="17" t="str">
        <f aca="false">IFERROR(IF(Members!A387="","",Members!B387),"")</f>
        <v/>
      </c>
      <c r="C390" s="17" t="str">
        <f aca="false">IFERROR(IF(Members!A387="","",Members!C387),"")</f>
        <v/>
      </c>
      <c r="D390" s="17" t="str">
        <f aca="false">IFERROR(IF(Members!A387="","",Members!D387),"")</f>
        <v/>
      </c>
      <c r="E390" s="17" t="str">
        <f aca="false">IF(A390="","",COUNTIF(Completions!A:A,A390))</f>
        <v/>
      </c>
      <c r="F390" s="17" t="str">
        <f aca="false">IF(A390="","",SUMPRODUCT((Completions!A$2:A$5000=A390)*IFERROR(VLOOKUP(Completions!B$2:B$5000,$J$4:$K$18,2,FALSE()),0)))</f>
        <v/>
      </c>
      <c r="G390" s="17" t="str">
        <f aca="false">IF(A390="","",IF(F390&gt;=20,"Gold",IF(F390&gt;=14,"Silver",IF(F390&gt;=8,"Bronze","—"))))</f>
        <v/>
      </c>
      <c r="H390" s="17" t="str">
        <f aca="false">IF(A390="","",IFERROR(TEXT(maxifs(Completions!G:G,Completions!A:A,A390),"yyyy-mm-dd hh:mm"),"—"))</f>
        <v/>
      </c>
    </row>
    <row r="391" customFormat="false" ht="21.75" hidden="false" customHeight="true" outlineLevel="0" collapsed="false">
      <c r="A391" s="16" t="str">
        <f aca="false">IFERROR(IF(Members!A388="","",Members!A388),"")</f>
        <v/>
      </c>
      <c r="B391" s="16" t="str">
        <f aca="false">IFERROR(IF(Members!A388="","",Members!B388),"")</f>
        <v/>
      </c>
      <c r="C391" s="16" t="str">
        <f aca="false">IFERROR(IF(Members!A388="","",Members!C388),"")</f>
        <v/>
      </c>
      <c r="D391" s="16" t="str">
        <f aca="false">IFERROR(IF(Members!A388="","",Members!D388),"")</f>
        <v/>
      </c>
      <c r="E391" s="16" t="str">
        <f aca="false">IF(A391="","",COUNTIF(Completions!A:A,A391))</f>
        <v/>
      </c>
      <c r="F391" s="16" t="str">
        <f aca="false">IF(A391="","",SUMPRODUCT((Completions!A$2:A$5000=A391)*IFERROR(VLOOKUP(Completions!B$2:B$5000,$J$4:$K$18,2,FALSE()),0)))</f>
        <v/>
      </c>
      <c r="G391" s="16" t="str">
        <f aca="false">IF(A391="","",IF(F391&gt;=20,"Gold",IF(F391&gt;=14,"Silver",IF(F391&gt;=8,"Bronze","—"))))</f>
        <v/>
      </c>
      <c r="H391" s="16" t="str">
        <f aca="false">IF(A391="","",IFERROR(TEXT(maxifs(Completions!G:G,Completions!A:A,A391),"yyyy-mm-dd hh:mm"),"—"))</f>
        <v/>
      </c>
    </row>
    <row r="392" customFormat="false" ht="21.75" hidden="false" customHeight="true" outlineLevel="0" collapsed="false">
      <c r="A392" s="17" t="str">
        <f aca="false">IFERROR(IF(Members!A389="","",Members!A389),"")</f>
        <v/>
      </c>
      <c r="B392" s="17" t="str">
        <f aca="false">IFERROR(IF(Members!A389="","",Members!B389),"")</f>
        <v/>
      </c>
      <c r="C392" s="17" t="str">
        <f aca="false">IFERROR(IF(Members!A389="","",Members!C389),"")</f>
        <v/>
      </c>
      <c r="D392" s="17" t="str">
        <f aca="false">IFERROR(IF(Members!A389="","",Members!D389),"")</f>
        <v/>
      </c>
      <c r="E392" s="17" t="str">
        <f aca="false">IF(A392="","",COUNTIF(Completions!A:A,A392))</f>
        <v/>
      </c>
      <c r="F392" s="17" t="str">
        <f aca="false">IF(A392="","",SUMPRODUCT((Completions!A$2:A$5000=A392)*IFERROR(VLOOKUP(Completions!B$2:B$5000,$J$4:$K$18,2,FALSE()),0)))</f>
        <v/>
      </c>
      <c r="G392" s="17" t="str">
        <f aca="false">IF(A392="","",IF(F392&gt;=20,"Gold",IF(F392&gt;=14,"Silver",IF(F392&gt;=8,"Bronze","—"))))</f>
        <v/>
      </c>
      <c r="H392" s="17" t="str">
        <f aca="false">IF(A392="","",IFERROR(TEXT(maxifs(Completions!G:G,Completions!A:A,A392),"yyyy-mm-dd hh:mm"),"—"))</f>
        <v/>
      </c>
    </row>
    <row r="393" customFormat="false" ht="21.75" hidden="false" customHeight="true" outlineLevel="0" collapsed="false">
      <c r="A393" s="16" t="str">
        <f aca="false">IFERROR(IF(Members!A390="","",Members!A390),"")</f>
        <v/>
      </c>
      <c r="B393" s="16" t="str">
        <f aca="false">IFERROR(IF(Members!A390="","",Members!B390),"")</f>
        <v/>
      </c>
      <c r="C393" s="16" t="str">
        <f aca="false">IFERROR(IF(Members!A390="","",Members!C390),"")</f>
        <v/>
      </c>
      <c r="D393" s="16" t="str">
        <f aca="false">IFERROR(IF(Members!A390="","",Members!D390),"")</f>
        <v/>
      </c>
      <c r="E393" s="16" t="str">
        <f aca="false">IF(A393="","",COUNTIF(Completions!A:A,A393))</f>
        <v/>
      </c>
      <c r="F393" s="16" t="str">
        <f aca="false">IF(A393="","",SUMPRODUCT((Completions!A$2:A$5000=A393)*IFERROR(VLOOKUP(Completions!B$2:B$5000,$J$4:$K$18,2,FALSE()),0)))</f>
        <v/>
      </c>
      <c r="G393" s="16" t="str">
        <f aca="false">IF(A393="","",IF(F393&gt;=20,"Gold",IF(F393&gt;=14,"Silver",IF(F393&gt;=8,"Bronze","—"))))</f>
        <v/>
      </c>
      <c r="H393" s="16" t="str">
        <f aca="false">IF(A393="","",IFERROR(TEXT(maxifs(Completions!G:G,Completions!A:A,A393),"yyyy-mm-dd hh:mm"),"—"))</f>
        <v/>
      </c>
    </row>
    <row r="394" customFormat="false" ht="21.75" hidden="false" customHeight="true" outlineLevel="0" collapsed="false">
      <c r="A394" s="17" t="str">
        <f aca="false">IFERROR(IF(Members!A391="","",Members!A391),"")</f>
        <v/>
      </c>
      <c r="B394" s="17" t="str">
        <f aca="false">IFERROR(IF(Members!A391="","",Members!B391),"")</f>
        <v/>
      </c>
      <c r="C394" s="17" t="str">
        <f aca="false">IFERROR(IF(Members!A391="","",Members!C391),"")</f>
        <v/>
      </c>
      <c r="D394" s="17" t="str">
        <f aca="false">IFERROR(IF(Members!A391="","",Members!D391),"")</f>
        <v/>
      </c>
      <c r="E394" s="17" t="str">
        <f aca="false">IF(A394="","",COUNTIF(Completions!A:A,A394))</f>
        <v/>
      </c>
      <c r="F394" s="17" t="str">
        <f aca="false">IF(A394="","",SUMPRODUCT((Completions!A$2:A$5000=A394)*IFERROR(VLOOKUP(Completions!B$2:B$5000,$J$4:$K$18,2,FALSE()),0)))</f>
        <v/>
      </c>
      <c r="G394" s="17" t="str">
        <f aca="false">IF(A394="","",IF(F394&gt;=20,"Gold",IF(F394&gt;=14,"Silver",IF(F394&gt;=8,"Bronze","—"))))</f>
        <v/>
      </c>
      <c r="H394" s="17" t="str">
        <f aca="false">IF(A394="","",IFERROR(TEXT(maxifs(Completions!G:G,Completions!A:A,A394),"yyyy-mm-dd hh:mm"),"—"))</f>
        <v/>
      </c>
    </row>
    <row r="395" customFormat="false" ht="21.75" hidden="false" customHeight="true" outlineLevel="0" collapsed="false">
      <c r="A395" s="16" t="str">
        <f aca="false">IFERROR(IF(Members!A392="","",Members!A392),"")</f>
        <v/>
      </c>
      <c r="B395" s="16" t="str">
        <f aca="false">IFERROR(IF(Members!A392="","",Members!B392),"")</f>
        <v/>
      </c>
      <c r="C395" s="16" t="str">
        <f aca="false">IFERROR(IF(Members!A392="","",Members!C392),"")</f>
        <v/>
      </c>
      <c r="D395" s="16" t="str">
        <f aca="false">IFERROR(IF(Members!A392="","",Members!D392),"")</f>
        <v/>
      </c>
      <c r="E395" s="16" t="str">
        <f aca="false">IF(A395="","",COUNTIF(Completions!A:A,A395))</f>
        <v/>
      </c>
      <c r="F395" s="16" t="str">
        <f aca="false">IF(A395="","",SUMPRODUCT((Completions!A$2:A$5000=A395)*IFERROR(VLOOKUP(Completions!B$2:B$5000,$J$4:$K$18,2,FALSE()),0)))</f>
        <v/>
      </c>
      <c r="G395" s="16" t="str">
        <f aca="false">IF(A395="","",IF(F395&gt;=20,"Gold",IF(F395&gt;=14,"Silver",IF(F395&gt;=8,"Bronze","—"))))</f>
        <v/>
      </c>
      <c r="H395" s="16" t="str">
        <f aca="false">IF(A395="","",IFERROR(TEXT(maxifs(Completions!G:G,Completions!A:A,A395),"yyyy-mm-dd hh:mm"),"—"))</f>
        <v/>
      </c>
    </row>
    <row r="396" customFormat="false" ht="21.75" hidden="false" customHeight="true" outlineLevel="0" collapsed="false">
      <c r="A396" s="17" t="str">
        <f aca="false">IFERROR(IF(Members!A393="","",Members!A393),"")</f>
        <v/>
      </c>
      <c r="B396" s="17" t="str">
        <f aca="false">IFERROR(IF(Members!A393="","",Members!B393),"")</f>
        <v/>
      </c>
      <c r="C396" s="17" t="str">
        <f aca="false">IFERROR(IF(Members!A393="","",Members!C393),"")</f>
        <v/>
      </c>
      <c r="D396" s="17" t="str">
        <f aca="false">IFERROR(IF(Members!A393="","",Members!D393),"")</f>
        <v/>
      </c>
      <c r="E396" s="17" t="str">
        <f aca="false">IF(A396="","",COUNTIF(Completions!A:A,A396))</f>
        <v/>
      </c>
      <c r="F396" s="17" t="str">
        <f aca="false">IF(A396="","",SUMPRODUCT((Completions!A$2:A$5000=A396)*IFERROR(VLOOKUP(Completions!B$2:B$5000,$J$4:$K$18,2,FALSE()),0)))</f>
        <v/>
      </c>
      <c r="G396" s="17" t="str">
        <f aca="false">IF(A396="","",IF(F396&gt;=20,"Gold",IF(F396&gt;=14,"Silver",IF(F396&gt;=8,"Bronze","—"))))</f>
        <v/>
      </c>
      <c r="H396" s="17" t="str">
        <f aca="false">IF(A396="","",IFERROR(TEXT(maxifs(Completions!G:G,Completions!A:A,A396),"yyyy-mm-dd hh:mm"),"—"))</f>
        <v/>
      </c>
    </row>
    <row r="397" customFormat="false" ht="21.75" hidden="false" customHeight="true" outlineLevel="0" collapsed="false">
      <c r="A397" s="16" t="str">
        <f aca="false">IFERROR(IF(Members!A394="","",Members!A394),"")</f>
        <v/>
      </c>
      <c r="B397" s="16" t="str">
        <f aca="false">IFERROR(IF(Members!A394="","",Members!B394),"")</f>
        <v/>
      </c>
      <c r="C397" s="16" t="str">
        <f aca="false">IFERROR(IF(Members!A394="","",Members!C394),"")</f>
        <v/>
      </c>
      <c r="D397" s="16" t="str">
        <f aca="false">IFERROR(IF(Members!A394="","",Members!D394),"")</f>
        <v/>
      </c>
      <c r="E397" s="16" t="str">
        <f aca="false">IF(A397="","",COUNTIF(Completions!A:A,A397))</f>
        <v/>
      </c>
      <c r="F397" s="16" t="str">
        <f aca="false">IF(A397="","",SUMPRODUCT((Completions!A$2:A$5000=A397)*IFERROR(VLOOKUP(Completions!B$2:B$5000,$J$4:$K$18,2,FALSE()),0)))</f>
        <v/>
      </c>
      <c r="G397" s="16" t="str">
        <f aca="false">IF(A397="","",IF(F397&gt;=20,"Gold",IF(F397&gt;=14,"Silver",IF(F397&gt;=8,"Bronze","—"))))</f>
        <v/>
      </c>
      <c r="H397" s="16" t="str">
        <f aca="false">IF(A397="","",IFERROR(TEXT(maxifs(Completions!G:G,Completions!A:A,A397),"yyyy-mm-dd hh:mm"),"—"))</f>
        <v/>
      </c>
    </row>
    <row r="398" customFormat="false" ht="21.75" hidden="false" customHeight="true" outlineLevel="0" collapsed="false">
      <c r="A398" s="17" t="str">
        <f aca="false">IFERROR(IF(Members!A395="","",Members!A395),"")</f>
        <v/>
      </c>
      <c r="B398" s="17" t="str">
        <f aca="false">IFERROR(IF(Members!A395="","",Members!B395),"")</f>
        <v/>
      </c>
      <c r="C398" s="17" t="str">
        <f aca="false">IFERROR(IF(Members!A395="","",Members!C395),"")</f>
        <v/>
      </c>
      <c r="D398" s="17" t="str">
        <f aca="false">IFERROR(IF(Members!A395="","",Members!D395),"")</f>
        <v/>
      </c>
      <c r="E398" s="17" t="str">
        <f aca="false">IF(A398="","",COUNTIF(Completions!A:A,A398))</f>
        <v/>
      </c>
      <c r="F398" s="17" t="str">
        <f aca="false">IF(A398="","",SUMPRODUCT((Completions!A$2:A$5000=A398)*IFERROR(VLOOKUP(Completions!B$2:B$5000,$J$4:$K$18,2,FALSE()),0)))</f>
        <v/>
      </c>
      <c r="G398" s="17" t="str">
        <f aca="false">IF(A398="","",IF(F398&gt;=20,"Gold",IF(F398&gt;=14,"Silver",IF(F398&gt;=8,"Bronze","—"))))</f>
        <v/>
      </c>
      <c r="H398" s="17" t="str">
        <f aca="false">IF(A398="","",IFERROR(TEXT(maxifs(Completions!G:G,Completions!A:A,A398),"yyyy-mm-dd hh:mm"),"—"))</f>
        <v/>
      </c>
    </row>
    <row r="399" customFormat="false" ht="21.75" hidden="false" customHeight="true" outlineLevel="0" collapsed="false">
      <c r="A399" s="16" t="str">
        <f aca="false">IFERROR(IF(Members!A396="","",Members!A396),"")</f>
        <v/>
      </c>
      <c r="B399" s="16" t="str">
        <f aca="false">IFERROR(IF(Members!A396="","",Members!B396),"")</f>
        <v/>
      </c>
      <c r="C399" s="16" t="str">
        <f aca="false">IFERROR(IF(Members!A396="","",Members!C396),"")</f>
        <v/>
      </c>
      <c r="D399" s="16" t="str">
        <f aca="false">IFERROR(IF(Members!A396="","",Members!D396),"")</f>
        <v/>
      </c>
      <c r="E399" s="16" t="str">
        <f aca="false">IF(A399="","",COUNTIF(Completions!A:A,A399))</f>
        <v/>
      </c>
      <c r="F399" s="16" t="str">
        <f aca="false">IF(A399="","",SUMPRODUCT((Completions!A$2:A$5000=A399)*IFERROR(VLOOKUP(Completions!B$2:B$5000,$J$4:$K$18,2,FALSE()),0)))</f>
        <v/>
      </c>
      <c r="G399" s="16" t="str">
        <f aca="false">IF(A399="","",IF(F399&gt;=20,"Gold",IF(F399&gt;=14,"Silver",IF(F399&gt;=8,"Bronze","—"))))</f>
        <v/>
      </c>
      <c r="H399" s="16" t="str">
        <f aca="false">IF(A399="","",IFERROR(TEXT(maxifs(Completions!G:G,Completions!A:A,A399),"yyyy-mm-dd hh:mm"),"—"))</f>
        <v/>
      </c>
    </row>
    <row r="400" customFormat="false" ht="21.75" hidden="false" customHeight="true" outlineLevel="0" collapsed="false">
      <c r="A400" s="17" t="str">
        <f aca="false">IFERROR(IF(Members!A397="","",Members!A397),"")</f>
        <v/>
      </c>
      <c r="B400" s="17" t="str">
        <f aca="false">IFERROR(IF(Members!A397="","",Members!B397),"")</f>
        <v/>
      </c>
      <c r="C400" s="17" t="str">
        <f aca="false">IFERROR(IF(Members!A397="","",Members!C397),"")</f>
        <v/>
      </c>
      <c r="D400" s="17" t="str">
        <f aca="false">IFERROR(IF(Members!A397="","",Members!D397),"")</f>
        <v/>
      </c>
      <c r="E400" s="17" t="str">
        <f aca="false">IF(A400="","",COUNTIF(Completions!A:A,A400))</f>
        <v/>
      </c>
      <c r="F400" s="17" t="str">
        <f aca="false">IF(A400="","",SUMPRODUCT((Completions!A$2:A$5000=A400)*IFERROR(VLOOKUP(Completions!B$2:B$5000,$J$4:$K$18,2,FALSE()),0)))</f>
        <v/>
      </c>
      <c r="G400" s="17" t="str">
        <f aca="false">IF(A400="","",IF(F400&gt;=20,"Gold",IF(F400&gt;=14,"Silver",IF(F400&gt;=8,"Bronze","—"))))</f>
        <v/>
      </c>
      <c r="H400" s="17" t="str">
        <f aca="false">IF(A400="","",IFERROR(TEXT(maxifs(Completions!G:G,Completions!A:A,A400),"yyyy-mm-dd hh:mm"),"—"))</f>
        <v/>
      </c>
    </row>
    <row r="401" customFormat="false" ht="21.75" hidden="false" customHeight="true" outlineLevel="0" collapsed="false">
      <c r="A401" s="16" t="str">
        <f aca="false">IFERROR(IF(Members!A398="","",Members!A398),"")</f>
        <v/>
      </c>
      <c r="B401" s="16" t="str">
        <f aca="false">IFERROR(IF(Members!A398="","",Members!B398),"")</f>
        <v/>
      </c>
      <c r="C401" s="16" t="str">
        <f aca="false">IFERROR(IF(Members!A398="","",Members!C398),"")</f>
        <v/>
      </c>
      <c r="D401" s="16" t="str">
        <f aca="false">IFERROR(IF(Members!A398="","",Members!D398),"")</f>
        <v/>
      </c>
      <c r="E401" s="16" t="str">
        <f aca="false">IF(A401="","",COUNTIF(Completions!A:A,A401))</f>
        <v/>
      </c>
      <c r="F401" s="16" t="str">
        <f aca="false">IF(A401="","",SUMPRODUCT((Completions!A$2:A$5000=A401)*IFERROR(VLOOKUP(Completions!B$2:B$5000,$J$4:$K$18,2,FALSE()),0)))</f>
        <v/>
      </c>
      <c r="G401" s="16" t="str">
        <f aca="false">IF(A401="","",IF(F401&gt;=20,"Gold",IF(F401&gt;=14,"Silver",IF(F401&gt;=8,"Bronze","—"))))</f>
        <v/>
      </c>
      <c r="H401" s="16" t="str">
        <f aca="false">IF(A401="","",IFERROR(TEXT(maxifs(Completions!G:G,Completions!A:A,A401),"yyyy-mm-dd hh:mm"),"—"))</f>
        <v/>
      </c>
    </row>
    <row r="402" customFormat="false" ht="21.75" hidden="false" customHeight="true" outlineLevel="0" collapsed="false">
      <c r="A402" s="17" t="str">
        <f aca="false">IFERROR(IF(Members!A399="","",Members!A399),"")</f>
        <v/>
      </c>
      <c r="B402" s="17" t="str">
        <f aca="false">IFERROR(IF(Members!A399="","",Members!B399),"")</f>
        <v/>
      </c>
      <c r="C402" s="17" t="str">
        <f aca="false">IFERROR(IF(Members!A399="","",Members!C399),"")</f>
        <v/>
      </c>
      <c r="D402" s="17" t="str">
        <f aca="false">IFERROR(IF(Members!A399="","",Members!D399),"")</f>
        <v/>
      </c>
      <c r="E402" s="17" t="str">
        <f aca="false">IF(A402="","",COUNTIF(Completions!A:A,A402))</f>
        <v/>
      </c>
      <c r="F402" s="17" t="str">
        <f aca="false">IF(A402="","",SUMPRODUCT((Completions!A$2:A$5000=A402)*IFERROR(VLOOKUP(Completions!B$2:B$5000,$J$4:$K$18,2,FALSE()),0)))</f>
        <v/>
      </c>
      <c r="G402" s="17" t="str">
        <f aca="false">IF(A402="","",IF(F402&gt;=20,"Gold",IF(F402&gt;=14,"Silver",IF(F402&gt;=8,"Bronze","—"))))</f>
        <v/>
      </c>
      <c r="H402" s="17" t="str">
        <f aca="false">IF(A402="","",IFERROR(TEXT(maxifs(Completions!G:G,Completions!A:A,A402),"yyyy-mm-dd hh:mm"),"—"))</f>
        <v/>
      </c>
    </row>
    <row r="403" customFormat="false" ht="21.75" hidden="false" customHeight="true" outlineLevel="0" collapsed="false">
      <c r="A403" s="16" t="str">
        <f aca="false">IFERROR(IF(Members!A400="","",Members!A400),"")</f>
        <v/>
      </c>
      <c r="B403" s="16" t="str">
        <f aca="false">IFERROR(IF(Members!A400="","",Members!B400),"")</f>
        <v/>
      </c>
      <c r="C403" s="16" t="str">
        <f aca="false">IFERROR(IF(Members!A400="","",Members!C400),"")</f>
        <v/>
      </c>
      <c r="D403" s="16" t="str">
        <f aca="false">IFERROR(IF(Members!A400="","",Members!D400),"")</f>
        <v/>
      </c>
      <c r="E403" s="16" t="str">
        <f aca="false">IF(A403="","",COUNTIF(Completions!A:A,A403))</f>
        <v/>
      </c>
      <c r="F403" s="16" t="str">
        <f aca="false">IF(A403="","",SUMPRODUCT((Completions!A$2:A$5000=A403)*IFERROR(VLOOKUP(Completions!B$2:B$5000,$J$4:$K$18,2,FALSE()),0)))</f>
        <v/>
      </c>
      <c r="G403" s="16" t="str">
        <f aca="false">IF(A403="","",IF(F403&gt;=20,"Gold",IF(F403&gt;=14,"Silver",IF(F403&gt;=8,"Bronze","—"))))</f>
        <v/>
      </c>
      <c r="H403" s="16" t="str">
        <f aca="false">IF(A403="","",IFERROR(TEXT(maxifs(Completions!G:G,Completions!A:A,A403),"yyyy-mm-dd hh:mm"),"—"))</f>
        <v/>
      </c>
    </row>
    <row r="404" customFormat="false" ht="21.75" hidden="false" customHeight="true" outlineLevel="0" collapsed="false">
      <c r="A404" s="17" t="str">
        <f aca="false">IFERROR(IF(Members!A401="","",Members!A401),"")</f>
        <v/>
      </c>
      <c r="B404" s="17" t="str">
        <f aca="false">IFERROR(IF(Members!A401="","",Members!B401),"")</f>
        <v/>
      </c>
      <c r="C404" s="17" t="str">
        <f aca="false">IFERROR(IF(Members!A401="","",Members!C401),"")</f>
        <v/>
      </c>
      <c r="D404" s="17" t="str">
        <f aca="false">IFERROR(IF(Members!A401="","",Members!D401),"")</f>
        <v/>
      </c>
      <c r="E404" s="17" t="str">
        <f aca="false">IF(A404="","",COUNTIF(Completions!A:A,A404))</f>
        <v/>
      </c>
      <c r="F404" s="17" t="str">
        <f aca="false">IF(A404="","",SUMPRODUCT((Completions!A$2:A$5000=A404)*IFERROR(VLOOKUP(Completions!B$2:B$5000,$J$4:$K$18,2,FALSE()),0)))</f>
        <v/>
      </c>
      <c r="G404" s="17" t="str">
        <f aca="false">IF(A404="","",IF(F404&gt;=20,"Gold",IF(F404&gt;=14,"Silver",IF(F404&gt;=8,"Bronze","—"))))</f>
        <v/>
      </c>
      <c r="H404" s="17" t="str">
        <f aca="false">IF(A404="","",IFERROR(TEXT(maxifs(Completions!G:G,Completions!A:A,A404),"yyyy-mm-dd hh:mm"),"—"))</f>
        <v/>
      </c>
    </row>
    <row r="405" customFormat="false" ht="21.75" hidden="false" customHeight="true" outlineLevel="0" collapsed="false">
      <c r="A405" s="16" t="str">
        <f aca="false">IFERROR(IF(Members!A402="","",Members!A402),"")</f>
        <v/>
      </c>
      <c r="B405" s="16" t="str">
        <f aca="false">IFERROR(IF(Members!A402="","",Members!B402),"")</f>
        <v/>
      </c>
      <c r="C405" s="16" t="str">
        <f aca="false">IFERROR(IF(Members!A402="","",Members!C402),"")</f>
        <v/>
      </c>
      <c r="D405" s="16" t="str">
        <f aca="false">IFERROR(IF(Members!A402="","",Members!D402),"")</f>
        <v/>
      </c>
      <c r="E405" s="16" t="str">
        <f aca="false">IF(A405="","",COUNTIF(Completions!A:A,A405))</f>
        <v/>
      </c>
      <c r="F405" s="16" t="str">
        <f aca="false">IF(A405="","",SUMPRODUCT((Completions!A$2:A$5000=A405)*IFERROR(VLOOKUP(Completions!B$2:B$5000,$J$4:$K$18,2,FALSE()),0)))</f>
        <v/>
      </c>
      <c r="G405" s="16" t="str">
        <f aca="false">IF(A405="","",IF(F405&gt;=20,"Gold",IF(F405&gt;=14,"Silver",IF(F405&gt;=8,"Bronze","—"))))</f>
        <v/>
      </c>
      <c r="H405" s="16" t="str">
        <f aca="false">IF(A405="","",IFERROR(TEXT(maxifs(Completions!G:G,Completions!A:A,A405),"yyyy-mm-dd hh:mm"),"—"))</f>
        <v/>
      </c>
    </row>
    <row r="406" customFormat="false" ht="21.75" hidden="false" customHeight="true" outlineLevel="0" collapsed="false">
      <c r="A406" s="17" t="str">
        <f aca="false">IFERROR(IF(Members!A403="","",Members!A403),"")</f>
        <v/>
      </c>
      <c r="B406" s="17" t="str">
        <f aca="false">IFERROR(IF(Members!A403="","",Members!B403),"")</f>
        <v/>
      </c>
      <c r="C406" s="17" t="str">
        <f aca="false">IFERROR(IF(Members!A403="","",Members!C403),"")</f>
        <v/>
      </c>
      <c r="D406" s="17" t="str">
        <f aca="false">IFERROR(IF(Members!A403="","",Members!D403),"")</f>
        <v/>
      </c>
      <c r="E406" s="17" t="str">
        <f aca="false">IF(A406="","",COUNTIF(Completions!A:A,A406))</f>
        <v/>
      </c>
      <c r="F406" s="17" t="str">
        <f aca="false">IF(A406="","",SUMPRODUCT((Completions!A$2:A$5000=A406)*IFERROR(VLOOKUP(Completions!B$2:B$5000,$J$4:$K$18,2,FALSE()),0)))</f>
        <v/>
      </c>
      <c r="G406" s="17" t="str">
        <f aca="false">IF(A406="","",IF(F406&gt;=20,"Gold",IF(F406&gt;=14,"Silver",IF(F406&gt;=8,"Bronze","—"))))</f>
        <v/>
      </c>
      <c r="H406" s="17" t="str">
        <f aca="false">IF(A406="","",IFERROR(TEXT(maxifs(Completions!G:G,Completions!A:A,A406),"yyyy-mm-dd hh:mm"),"—"))</f>
        <v/>
      </c>
    </row>
    <row r="407" customFormat="false" ht="21.75" hidden="false" customHeight="true" outlineLevel="0" collapsed="false">
      <c r="A407" s="16" t="str">
        <f aca="false">IFERROR(IF(Members!A404="","",Members!A404),"")</f>
        <v/>
      </c>
      <c r="B407" s="16" t="str">
        <f aca="false">IFERROR(IF(Members!A404="","",Members!B404),"")</f>
        <v/>
      </c>
      <c r="C407" s="16" t="str">
        <f aca="false">IFERROR(IF(Members!A404="","",Members!C404),"")</f>
        <v/>
      </c>
      <c r="D407" s="16" t="str">
        <f aca="false">IFERROR(IF(Members!A404="","",Members!D404),"")</f>
        <v/>
      </c>
      <c r="E407" s="16" t="str">
        <f aca="false">IF(A407="","",COUNTIF(Completions!A:A,A407))</f>
        <v/>
      </c>
      <c r="F407" s="16" t="str">
        <f aca="false">IF(A407="","",SUMPRODUCT((Completions!A$2:A$5000=A407)*IFERROR(VLOOKUP(Completions!B$2:B$5000,$J$4:$K$18,2,FALSE()),0)))</f>
        <v/>
      </c>
      <c r="G407" s="16" t="str">
        <f aca="false">IF(A407="","",IF(F407&gt;=20,"Gold",IF(F407&gt;=14,"Silver",IF(F407&gt;=8,"Bronze","—"))))</f>
        <v/>
      </c>
      <c r="H407" s="16" t="str">
        <f aca="false">IF(A407="","",IFERROR(TEXT(maxifs(Completions!G:G,Completions!A:A,A407),"yyyy-mm-dd hh:mm"),"—"))</f>
        <v/>
      </c>
    </row>
    <row r="408" customFormat="false" ht="21.75" hidden="false" customHeight="true" outlineLevel="0" collapsed="false">
      <c r="A408" s="17" t="str">
        <f aca="false">IFERROR(IF(Members!A405="","",Members!A405),"")</f>
        <v/>
      </c>
      <c r="B408" s="17" t="str">
        <f aca="false">IFERROR(IF(Members!A405="","",Members!B405),"")</f>
        <v/>
      </c>
      <c r="C408" s="17" t="str">
        <f aca="false">IFERROR(IF(Members!A405="","",Members!C405),"")</f>
        <v/>
      </c>
      <c r="D408" s="17" t="str">
        <f aca="false">IFERROR(IF(Members!A405="","",Members!D405),"")</f>
        <v/>
      </c>
      <c r="E408" s="17" t="str">
        <f aca="false">IF(A408="","",COUNTIF(Completions!A:A,A408))</f>
        <v/>
      </c>
      <c r="F408" s="17" t="str">
        <f aca="false">IF(A408="","",SUMPRODUCT((Completions!A$2:A$5000=A408)*IFERROR(VLOOKUP(Completions!B$2:B$5000,$J$4:$K$18,2,FALSE()),0)))</f>
        <v/>
      </c>
      <c r="G408" s="17" t="str">
        <f aca="false">IF(A408="","",IF(F408&gt;=20,"Gold",IF(F408&gt;=14,"Silver",IF(F408&gt;=8,"Bronze","—"))))</f>
        <v/>
      </c>
      <c r="H408" s="17" t="str">
        <f aca="false">IF(A408="","",IFERROR(TEXT(maxifs(Completions!G:G,Completions!A:A,A408),"yyyy-mm-dd hh:mm"),"—"))</f>
        <v/>
      </c>
    </row>
    <row r="409" customFormat="false" ht="21.75" hidden="false" customHeight="true" outlineLevel="0" collapsed="false">
      <c r="A409" s="16" t="str">
        <f aca="false">IFERROR(IF(Members!A406="","",Members!A406),"")</f>
        <v/>
      </c>
      <c r="B409" s="16" t="str">
        <f aca="false">IFERROR(IF(Members!A406="","",Members!B406),"")</f>
        <v/>
      </c>
      <c r="C409" s="16" t="str">
        <f aca="false">IFERROR(IF(Members!A406="","",Members!C406),"")</f>
        <v/>
      </c>
      <c r="D409" s="16" t="str">
        <f aca="false">IFERROR(IF(Members!A406="","",Members!D406),"")</f>
        <v/>
      </c>
      <c r="E409" s="16" t="str">
        <f aca="false">IF(A409="","",COUNTIF(Completions!A:A,A409))</f>
        <v/>
      </c>
      <c r="F409" s="16" t="str">
        <f aca="false">IF(A409="","",SUMPRODUCT((Completions!A$2:A$5000=A409)*IFERROR(VLOOKUP(Completions!B$2:B$5000,$J$4:$K$18,2,FALSE()),0)))</f>
        <v/>
      </c>
      <c r="G409" s="16" t="str">
        <f aca="false">IF(A409="","",IF(F409&gt;=20,"Gold",IF(F409&gt;=14,"Silver",IF(F409&gt;=8,"Bronze","—"))))</f>
        <v/>
      </c>
      <c r="H409" s="16" t="str">
        <f aca="false">IF(A409="","",IFERROR(TEXT(maxifs(Completions!G:G,Completions!A:A,A409),"yyyy-mm-dd hh:mm"),"—"))</f>
        <v/>
      </c>
    </row>
    <row r="410" customFormat="false" ht="21.75" hidden="false" customHeight="true" outlineLevel="0" collapsed="false">
      <c r="A410" s="17" t="str">
        <f aca="false">IFERROR(IF(Members!A407="","",Members!A407),"")</f>
        <v/>
      </c>
      <c r="B410" s="17" t="str">
        <f aca="false">IFERROR(IF(Members!A407="","",Members!B407),"")</f>
        <v/>
      </c>
      <c r="C410" s="17" t="str">
        <f aca="false">IFERROR(IF(Members!A407="","",Members!C407),"")</f>
        <v/>
      </c>
      <c r="D410" s="17" t="str">
        <f aca="false">IFERROR(IF(Members!A407="","",Members!D407),"")</f>
        <v/>
      </c>
      <c r="E410" s="17" t="str">
        <f aca="false">IF(A410="","",COUNTIF(Completions!A:A,A410))</f>
        <v/>
      </c>
      <c r="F410" s="17" t="str">
        <f aca="false">IF(A410="","",SUMPRODUCT((Completions!A$2:A$5000=A410)*IFERROR(VLOOKUP(Completions!B$2:B$5000,$J$4:$K$18,2,FALSE()),0)))</f>
        <v/>
      </c>
      <c r="G410" s="17" t="str">
        <f aca="false">IF(A410="","",IF(F410&gt;=20,"Gold",IF(F410&gt;=14,"Silver",IF(F410&gt;=8,"Bronze","—"))))</f>
        <v/>
      </c>
      <c r="H410" s="17" t="str">
        <f aca="false">IF(A410="","",IFERROR(TEXT(maxifs(Completions!G:G,Completions!A:A,A410),"yyyy-mm-dd hh:mm"),"—"))</f>
        <v/>
      </c>
    </row>
    <row r="411" customFormat="false" ht="21.75" hidden="false" customHeight="true" outlineLevel="0" collapsed="false">
      <c r="A411" s="16" t="str">
        <f aca="false">IFERROR(IF(Members!A408="","",Members!A408),"")</f>
        <v/>
      </c>
      <c r="B411" s="16" t="str">
        <f aca="false">IFERROR(IF(Members!A408="","",Members!B408),"")</f>
        <v/>
      </c>
      <c r="C411" s="16" t="str">
        <f aca="false">IFERROR(IF(Members!A408="","",Members!C408),"")</f>
        <v/>
      </c>
      <c r="D411" s="16" t="str">
        <f aca="false">IFERROR(IF(Members!A408="","",Members!D408),"")</f>
        <v/>
      </c>
      <c r="E411" s="16" t="str">
        <f aca="false">IF(A411="","",COUNTIF(Completions!A:A,A411))</f>
        <v/>
      </c>
      <c r="F411" s="16" t="str">
        <f aca="false">IF(A411="","",SUMPRODUCT((Completions!A$2:A$5000=A411)*IFERROR(VLOOKUP(Completions!B$2:B$5000,$J$4:$K$18,2,FALSE()),0)))</f>
        <v/>
      </c>
      <c r="G411" s="16" t="str">
        <f aca="false">IF(A411="","",IF(F411&gt;=20,"Gold",IF(F411&gt;=14,"Silver",IF(F411&gt;=8,"Bronze","—"))))</f>
        <v/>
      </c>
      <c r="H411" s="16" t="str">
        <f aca="false">IF(A411="","",IFERROR(TEXT(maxifs(Completions!G:G,Completions!A:A,A411),"yyyy-mm-dd hh:mm"),"—"))</f>
        <v/>
      </c>
    </row>
    <row r="412" customFormat="false" ht="21.75" hidden="false" customHeight="true" outlineLevel="0" collapsed="false">
      <c r="A412" s="17" t="str">
        <f aca="false">IFERROR(IF(Members!A409="","",Members!A409),"")</f>
        <v/>
      </c>
      <c r="B412" s="17" t="str">
        <f aca="false">IFERROR(IF(Members!A409="","",Members!B409),"")</f>
        <v/>
      </c>
      <c r="C412" s="17" t="str">
        <f aca="false">IFERROR(IF(Members!A409="","",Members!C409),"")</f>
        <v/>
      </c>
      <c r="D412" s="17" t="str">
        <f aca="false">IFERROR(IF(Members!A409="","",Members!D409),"")</f>
        <v/>
      </c>
      <c r="E412" s="17" t="str">
        <f aca="false">IF(A412="","",COUNTIF(Completions!A:A,A412))</f>
        <v/>
      </c>
      <c r="F412" s="17" t="str">
        <f aca="false">IF(A412="","",SUMPRODUCT((Completions!A$2:A$5000=A412)*IFERROR(VLOOKUP(Completions!B$2:B$5000,$J$4:$K$18,2,FALSE()),0)))</f>
        <v/>
      </c>
      <c r="G412" s="17" t="str">
        <f aca="false">IF(A412="","",IF(F412&gt;=20,"Gold",IF(F412&gt;=14,"Silver",IF(F412&gt;=8,"Bronze","—"))))</f>
        <v/>
      </c>
      <c r="H412" s="17" t="str">
        <f aca="false">IF(A412="","",IFERROR(TEXT(maxifs(Completions!G:G,Completions!A:A,A412),"yyyy-mm-dd hh:mm"),"—"))</f>
        <v/>
      </c>
    </row>
    <row r="413" customFormat="false" ht="21.75" hidden="false" customHeight="true" outlineLevel="0" collapsed="false">
      <c r="A413" s="16" t="str">
        <f aca="false">IFERROR(IF(Members!A410="","",Members!A410),"")</f>
        <v/>
      </c>
      <c r="B413" s="16" t="str">
        <f aca="false">IFERROR(IF(Members!A410="","",Members!B410),"")</f>
        <v/>
      </c>
      <c r="C413" s="16" t="str">
        <f aca="false">IFERROR(IF(Members!A410="","",Members!C410),"")</f>
        <v/>
      </c>
      <c r="D413" s="16" t="str">
        <f aca="false">IFERROR(IF(Members!A410="","",Members!D410),"")</f>
        <v/>
      </c>
      <c r="E413" s="16" t="str">
        <f aca="false">IF(A413="","",COUNTIF(Completions!A:A,A413))</f>
        <v/>
      </c>
      <c r="F413" s="16" t="str">
        <f aca="false">IF(A413="","",SUMPRODUCT((Completions!A$2:A$5000=A413)*IFERROR(VLOOKUP(Completions!B$2:B$5000,$J$4:$K$18,2,FALSE()),0)))</f>
        <v/>
      </c>
      <c r="G413" s="16" t="str">
        <f aca="false">IF(A413="","",IF(F413&gt;=20,"Gold",IF(F413&gt;=14,"Silver",IF(F413&gt;=8,"Bronze","—"))))</f>
        <v/>
      </c>
      <c r="H413" s="16" t="str">
        <f aca="false">IF(A413="","",IFERROR(TEXT(maxifs(Completions!G:G,Completions!A:A,A413),"yyyy-mm-dd hh:mm"),"—"))</f>
        <v/>
      </c>
    </row>
    <row r="414" customFormat="false" ht="21.75" hidden="false" customHeight="true" outlineLevel="0" collapsed="false">
      <c r="A414" s="17" t="str">
        <f aca="false">IFERROR(IF(Members!A411="","",Members!A411),"")</f>
        <v/>
      </c>
      <c r="B414" s="17" t="str">
        <f aca="false">IFERROR(IF(Members!A411="","",Members!B411),"")</f>
        <v/>
      </c>
      <c r="C414" s="17" t="str">
        <f aca="false">IFERROR(IF(Members!A411="","",Members!C411),"")</f>
        <v/>
      </c>
      <c r="D414" s="17" t="str">
        <f aca="false">IFERROR(IF(Members!A411="","",Members!D411),"")</f>
        <v/>
      </c>
      <c r="E414" s="17" t="str">
        <f aca="false">IF(A414="","",COUNTIF(Completions!A:A,A414))</f>
        <v/>
      </c>
      <c r="F414" s="17" t="str">
        <f aca="false">IF(A414="","",SUMPRODUCT((Completions!A$2:A$5000=A414)*IFERROR(VLOOKUP(Completions!B$2:B$5000,$J$4:$K$18,2,FALSE()),0)))</f>
        <v/>
      </c>
      <c r="G414" s="17" t="str">
        <f aca="false">IF(A414="","",IF(F414&gt;=20,"Gold",IF(F414&gt;=14,"Silver",IF(F414&gt;=8,"Bronze","—"))))</f>
        <v/>
      </c>
      <c r="H414" s="17" t="str">
        <f aca="false">IF(A414="","",IFERROR(TEXT(maxifs(Completions!G:G,Completions!A:A,A414),"yyyy-mm-dd hh:mm"),"—"))</f>
        <v/>
      </c>
    </row>
    <row r="415" customFormat="false" ht="21.75" hidden="false" customHeight="true" outlineLevel="0" collapsed="false">
      <c r="A415" s="16" t="str">
        <f aca="false">IFERROR(IF(Members!A412="","",Members!A412),"")</f>
        <v/>
      </c>
      <c r="B415" s="16" t="str">
        <f aca="false">IFERROR(IF(Members!A412="","",Members!B412),"")</f>
        <v/>
      </c>
      <c r="C415" s="16" t="str">
        <f aca="false">IFERROR(IF(Members!A412="","",Members!C412),"")</f>
        <v/>
      </c>
      <c r="D415" s="16" t="str">
        <f aca="false">IFERROR(IF(Members!A412="","",Members!D412),"")</f>
        <v/>
      </c>
      <c r="E415" s="16" t="str">
        <f aca="false">IF(A415="","",COUNTIF(Completions!A:A,A415))</f>
        <v/>
      </c>
      <c r="F415" s="16" t="str">
        <f aca="false">IF(A415="","",SUMPRODUCT((Completions!A$2:A$5000=A415)*IFERROR(VLOOKUP(Completions!B$2:B$5000,$J$4:$K$18,2,FALSE()),0)))</f>
        <v/>
      </c>
      <c r="G415" s="16" t="str">
        <f aca="false">IF(A415="","",IF(F415&gt;=20,"Gold",IF(F415&gt;=14,"Silver",IF(F415&gt;=8,"Bronze","—"))))</f>
        <v/>
      </c>
      <c r="H415" s="16" t="str">
        <f aca="false">IF(A415="","",IFERROR(TEXT(maxifs(Completions!G:G,Completions!A:A,A415),"yyyy-mm-dd hh:mm"),"—"))</f>
        <v/>
      </c>
    </row>
    <row r="416" customFormat="false" ht="21.75" hidden="false" customHeight="true" outlineLevel="0" collapsed="false">
      <c r="A416" s="17" t="str">
        <f aca="false">IFERROR(IF(Members!A413="","",Members!A413),"")</f>
        <v/>
      </c>
      <c r="B416" s="17" t="str">
        <f aca="false">IFERROR(IF(Members!A413="","",Members!B413),"")</f>
        <v/>
      </c>
      <c r="C416" s="17" t="str">
        <f aca="false">IFERROR(IF(Members!A413="","",Members!C413),"")</f>
        <v/>
      </c>
      <c r="D416" s="17" t="str">
        <f aca="false">IFERROR(IF(Members!A413="","",Members!D413),"")</f>
        <v/>
      </c>
      <c r="E416" s="17" t="str">
        <f aca="false">IF(A416="","",COUNTIF(Completions!A:A,A416))</f>
        <v/>
      </c>
      <c r="F416" s="17" t="str">
        <f aca="false">IF(A416="","",SUMPRODUCT((Completions!A$2:A$5000=A416)*IFERROR(VLOOKUP(Completions!B$2:B$5000,$J$4:$K$18,2,FALSE()),0)))</f>
        <v/>
      </c>
      <c r="G416" s="17" t="str">
        <f aca="false">IF(A416="","",IF(F416&gt;=20,"Gold",IF(F416&gt;=14,"Silver",IF(F416&gt;=8,"Bronze","—"))))</f>
        <v/>
      </c>
      <c r="H416" s="17" t="str">
        <f aca="false">IF(A416="","",IFERROR(TEXT(maxifs(Completions!G:G,Completions!A:A,A416),"yyyy-mm-dd hh:mm"),"—"))</f>
        <v/>
      </c>
    </row>
    <row r="417" customFormat="false" ht="21.75" hidden="false" customHeight="true" outlineLevel="0" collapsed="false">
      <c r="A417" s="16" t="str">
        <f aca="false">IFERROR(IF(Members!A414="","",Members!A414),"")</f>
        <v/>
      </c>
      <c r="B417" s="16" t="str">
        <f aca="false">IFERROR(IF(Members!A414="","",Members!B414),"")</f>
        <v/>
      </c>
      <c r="C417" s="16" t="str">
        <f aca="false">IFERROR(IF(Members!A414="","",Members!C414),"")</f>
        <v/>
      </c>
      <c r="D417" s="16" t="str">
        <f aca="false">IFERROR(IF(Members!A414="","",Members!D414),"")</f>
        <v/>
      </c>
      <c r="E417" s="16" t="str">
        <f aca="false">IF(A417="","",COUNTIF(Completions!A:A,A417))</f>
        <v/>
      </c>
      <c r="F417" s="16" t="str">
        <f aca="false">IF(A417="","",SUMPRODUCT((Completions!A$2:A$5000=A417)*IFERROR(VLOOKUP(Completions!B$2:B$5000,$J$4:$K$18,2,FALSE()),0)))</f>
        <v/>
      </c>
      <c r="G417" s="16" t="str">
        <f aca="false">IF(A417="","",IF(F417&gt;=20,"Gold",IF(F417&gt;=14,"Silver",IF(F417&gt;=8,"Bronze","—"))))</f>
        <v/>
      </c>
      <c r="H417" s="16" t="str">
        <f aca="false">IF(A417="","",IFERROR(TEXT(maxifs(Completions!G:G,Completions!A:A,A417),"yyyy-mm-dd hh:mm"),"—"))</f>
        <v/>
      </c>
    </row>
    <row r="418" customFormat="false" ht="21.75" hidden="false" customHeight="true" outlineLevel="0" collapsed="false">
      <c r="A418" s="17" t="str">
        <f aca="false">IFERROR(IF(Members!A415="","",Members!A415),"")</f>
        <v/>
      </c>
      <c r="B418" s="17" t="str">
        <f aca="false">IFERROR(IF(Members!A415="","",Members!B415),"")</f>
        <v/>
      </c>
      <c r="C418" s="17" t="str">
        <f aca="false">IFERROR(IF(Members!A415="","",Members!C415),"")</f>
        <v/>
      </c>
      <c r="D418" s="17" t="str">
        <f aca="false">IFERROR(IF(Members!A415="","",Members!D415),"")</f>
        <v/>
      </c>
      <c r="E418" s="17" t="str">
        <f aca="false">IF(A418="","",COUNTIF(Completions!A:A,A418))</f>
        <v/>
      </c>
      <c r="F418" s="17" t="str">
        <f aca="false">IF(A418="","",SUMPRODUCT((Completions!A$2:A$5000=A418)*IFERROR(VLOOKUP(Completions!B$2:B$5000,$J$4:$K$18,2,FALSE()),0)))</f>
        <v/>
      </c>
      <c r="G418" s="17" t="str">
        <f aca="false">IF(A418="","",IF(F418&gt;=20,"Gold",IF(F418&gt;=14,"Silver",IF(F418&gt;=8,"Bronze","—"))))</f>
        <v/>
      </c>
      <c r="H418" s="17" t="str">
        <f aca="false">IF(A418="","",IFERROR(TEXT(maxifs(Completions!G:G,Completions!A:A,A418),"yyyy-mm-dd hh:mm"),"—"))</f>
        <v/>
      </c>
    </row>
    <row r="419" customFormat="false" ht="21.75" hidden="false" customHeight="true" outlineLevel="0" collapsed="false">
      <c r="A419" s="16" t="str">
        <f aca="false">IFERROR(IF(Members!A416="","",Members!A416),"")</f>
        <v/>
      </c>
      <c r="B419" s="16" t="str">
        <f aca="false">IFERROR(IF(Members!A416="","",Members!B416),"")</f>
        <v/>
      </c>
      <c r="C419" s="16" t="str">
        <f aca="false">IFERROR(IF(Members!A416="","",Members!C416),"")</f>
        <v/>
      </c>
      <c r="D419" s="16" t="str">
        <f aca="false">IFERROR(IF(Members!A416="","",Members!D416),"")</f>
        <v/>
      </c>
      <c r="E419" s="16" t="str">
        <f aca="false">IF(A419="","",COUNTIF(Completions!A:A,A419))</f>
        <v/>
      </c>
      <c r="F419" s="16" t="str">
        <f aca="false">IF(A419="","",SUMPRODUCT((Completions!A$2:A$5000=A419)*IFERROR(VLOOKUP(Completions!B$2:B$5000,$J$4:$K$18,2,FALSE()),0)))</f>
        <v/>
      </c>
      <c r="G419" s="16" t="str">
        <f aca="false">IF(A419="","",IF(F419&gt;=20,"Gold",IF(F419&gt;=14,"Silver",IF(F419&gt;=8,"Bronze","—"))))</f>
        <v/>
      </c>
      <c r="H419" s="16" t="str">
        <f aca="false">IF(A419="","",IFERROR(TEXT(maxifs(Completions!G:G,Completions!A:A,A419),"yyyy-mm-dd hh:mm"),"—"))</f>
        <v/>
      </c>
    </row>
    <row r="420" customFormat="false" ht="21.75" hidden="false" customHeight="true" outlineLevel="0" collapsed="false">
      <c r="A420" s="17" t="str">
        <f aca="false">IFERROR(IF(Members!A417="","",Members!A417),"")</f>
        <v/>
      </c>
      <c r="B420" s="17" t="str">
        <f aca="false">IFERROR(IF(Members!A417="","",Members!B417),"")</f>
        <v/>
      </c>
      <c r="C420" s="17" t="str">
        <f aca="false">IFERROR(IF(Members!A417="","",Members!C417),"")</f>
        <v/>
      </c>
      <c r="D420" s="17" t="str">
        <f aca="false">IFERROR(IF(Members!A417="","",Members!D417),"")</f>
        <v/>
      </c>
      <c r="E420" s="17" t="str">
        <f aca="false">IF(A420="","",COUNTIF(Completions!A:A,A420))</f>
        <v/>
      </c>
      <c r="F420" s="17" t="str">
        <f aca="false">IF(A420="","",SUMPRODUCT((Completions!A$2:A$5000=A420)*IFERROR(VLOOKUP(Completions!B$2:B$5000,$J$4:$K$18,2,FALSE()),0)))</f>
        <v/>
      </c>
      <c r="G420" s="17" t="str">
        <f aca="false">IF(A420="","",IF(F420&gt;=20,"Gold",IF(F420&gt;=14,"Silver",IF(F420&gt;=8,"Bronze","—"))))</f>
        <v/>
      </c>
      <c r="H420" s="17" t="str">
        <f aca="false">IF(A420="","",IFERROR(TEXT(maxifs(Completions!G:G,Completions!A:A,A420),"yyyy-mm-dd hh:mm"),"—"))</f>
        <v/>
      </c>
    </row>
    <row r="421" customFormat="false" ht="21.75" hidden="false" customHeight="true" outlineLevel="0" collapsed="false">
      <c r="A421" s="16" t="str">
        <f aca="false">IFERROR(IF(Members!A418="","",Members!A418),"")</f>
        <v/>
      </c>
      <c r="B421" s="16" t="str">
        <f aca="false">IFERROR(IF(Members!A418="","",Members!B418),"")</f>
        <v/>
      </c>
      <c r="C421" s="16" t="str">
        <f aca="false">IFERROR(IF(Members!A418="","",Members!C418),"")</f>
        <v/>
      </c>
      <c r="D421" s="16" t="str">
        <f aca="false">IFERROR(IF(Members!A418="","",Members!D418),"")</f>
        <v/>
      </c>
      <c r="E421" s="16" t="str">
        <f aca="false">IF(A421="","",COUNTIF(Completions!A:A,A421))</f>
        <v/>
      </c>
      <c r="F421" s="16" t="str">
        <f aca="false">IF(A421="","",SUMPRODUCT((Completions!A$2:A$5000=A421)*IFERROR(VLOOKUP(Completions!B$2:B$5000,$J$4:$K$18,2,FALSE()),0)))</f>
        <v/>
      </c>
      <c r="G421" s="16" t="str">
        <f aca="false">IF(A421="","",IF(F421&gt;=20,"Gold",IF(F421&gt;=14,"Silver",IF(F421&gt;=8,"Bronze","—"))))</f>
        <v/>
      </c>
      <c r="H421" s="16" t="str">
        <f aca="false">IF(A421="","",IFERROR(TEXT(maxifs(Completions!G:G,Completions!A:A,A421),"yyyy-mm-dd hh:mm"),"—"))</f>
        <v/>
      </c>
    </row>
    <row r="422" customFormat="false" ht="21.75" hidden="false" customHeight="true" outlineLevel="0" collapsed="false">
      <c r="A422" s="17" t="str">
        <f aca="false">IFERROR(IF(Members!A419="","",Members!A419),"")</f>
        <v/>
      </c>
      <c r="B422" s="17" t="str">
        <f aca="false">IFERROR(IF(Members!A419="","",Members!B419),"")</f>
        <v/>
      </c>
      <c r="C422" s="17" t="str">
        <f aca="false">IFERROR(IF(Members!A419="","",Members!C419),"")</f>
        <v/>
      </c>
      <c r="D422" s="17" t="str">
        <f aca="false">IFERROR(IF(Members!A419="","",Members!D419),"")</f>
        <v/>
      </c>
      <c r="E422" s="17" t="str">
        <f aca="false">IF(A422="","",COUNTIF(Completions!A:A,A422))</f>
        <v/>
      </c>
      <c r="F422" s="17" t="str">
        <f aca="false">IF(A422="","",SUMPRODUCT((Completions!A$2:A$5000=A422)*IFERROR(VLOOKUP(Completions!B$2:B$5000,$J$4:$K$18,2,FALSE()),0)))</f>
        <v/>
      </c>
      <c r="G422" s="17" t="str">
        <f aca="false">IF(A422="","",IF(F422&gt;=20,"Gold",IF(F422&gt;=14,"Silver",IF(F422&gt;=8,"Bronze","—"))))</f>
        <v/>
      </c>
      <c r="H422" s="17" t="str">
        <f aca="false">IF(A422="","",IFERROR(TEXT(maxifs(Completions!G:G,Completions!A:A,A422),"yyyy-mm-dd hh:mm"),"—"))</f>
        <v/>
      </c>
    </row>
    <row r="423" customFormat="false" ht="21.75" hidden="false" customHeight="true" outlineLevel="0" collapsed="false">
      <c r="A423" s="16" t="str">
        <f aca="false">IFERROR(IF(Members!A420="","",Members!A420),"")</f>
        <v/>
      </c>
      <c r="B423" s="16" t="str">
        <f aca="false">IFERROR(IF(Members!A420="","",Members!B420),"")</f>
        <v/>
      </c>
      <c r="C423" s="16" t="str">
        <f aca="false">IFERROR(IF(Members!A420="","",Members!C420),"")</f>
        <v/>
      </c>
      <c r="D423" s="16" t="str">
        <f aca="false">IFERROR(IF(Members!A420="","",Members!D420),"")</f>
        <v/>
      </c>
      <c r="E423" s="16" t="str">
        <f aca="false">IF(A423="","",COUNTIF(Completions!A:A,A423))</f>
        <v/>
      </c>
      <c r="F423" s="16" t="str">
        <f aca="false">IF(A423="","",SUMPRODUCT((Completions!A$2:A$5000=A423)*IFERROR(VLOOKUP(Completions!B$2:B$5000,$J$4:$K$18,2,FALSE()),0)))</f>
        <v/>
      </c>
      <c r="G423" s="16" t="str">
        <f aca="false">IF(A423="","",IF(F423&gt;=20,"Gold",IF(F423&gt;=14,"Silver",IF(F423&gt;=8,"Bronze","—"))))</f>
        <v/>
      </c>
      <c r="H423" s="16" t="str">
        <f aca="false">IF(A423="","",IFERROR(TEXT(maxifs(Completions!G:G,Completions!A:A,A423),"yyyy-mm-dd hh:mm"),"—"))</f>
        <v/>
      </c>
    </row>
    <row r="424" customFormat="false" ht="21.75" hidden="false" customHeight="true" outlineLevel="0" collapsed="false">
      <c r="A424" s="17" t="str">
        <f aca="false">IFERROR(IF(Members!A421="","",Members!A421),"")</f>
        <v/>
      </c>
      <c r="B424" s="17" t="str">
        <f aca="false">IFERROR(IF(Members!A421="","",Members!B421),"")</f>
        <v/>
      </c>
      <c r="C424" s="17" t="str">
        <f aca="false">IFERROR(IF(Members!A421="","",Members!C421),"")</f>
        <v/>
      </c>
      <c r="D424" s="17" t="str">
        <f aca="false">IFERROR(IF(Members!A421="","",Members!D421),"")</f>
        <v/>
      </c>
      <c r="E424" s="17" t="str">
        <f aca="false">IF(A424="","",COUNTIF(Completions!A:A,A424))</f>
        <v/>
      </c>
      <c r="F424" s="17" t="str">
        <f aca="false">IF(A424="","",SUMPRODUCT((Completions!A$2:A$5000=A424)*IFERROR(VLOOKUP(Completions!B$2:B$5000,$J$4:$K$18,2,FALSE()),0)))</f>
        <v/>
      </c>
      <c r="G424" s="17" t="str">
        <f aca="false">IF(A424="","",IF(F424&gt;=20,"Gold",IF(F424&gt;=14,"Silver",IF(F424&gt;=8,"Bronze","—"))))</f>
        <v/>
      </c>
      <c r="H424" s="17" t="str">
        <f aca="false">IF(A424="","",IFERROR(TEXT(maxifs(Completions!G:G,Completions!A:A,A424),"yyyy-mm-dd hh:mm"),"—"))</f>
        <v/>
      </c>
    </row>
    <row r="425" customFormat="false" ht="21.75" hidden="false" customHeight="true" outlineLevel="0" collapsed="false">
      <c r="A425" s="16" t="str">
        <f aca="false">IFERROR(IF(Members!A422="","",Members!A422),"")</f>
        <v/>
      </c>
      <c r="B425" s="16" t="str">
        <f aca="false">IFERROR(IF(Members!A422="","",Members!B422),"")</f>
        <v/>
      </c>
      <c r="C425" s="16" t="str">
        <f aca="false">IFERROR(IF(Members!A422="","",Members!C422),"")</f>
        <v/>
      </c>
      <c r="D425" s="16" t="str">
        <f aca="false">IFERROR(IF(Members!A422="","",Members!D422),"")</f>
        <v/>
      </c>
      <c r="E425" s="16" t="str">
        <f aca="false">IF(A425="","",COUNTIF(Completions!A:A,A425))</f>
        <v/>
      </c>
      <c r="F425" s="16" t="str">
        <f aca="false">IF(A425="","",SUMPRODUCT((Completions!A$2:A$5000=A425)*IFERROR(VLOOKUP(Completions!B$2:B$5000,$J$4:$K$18,2,FALSE()),0)))</f>
        <v/>
      </c>
      <c r="G425" s="16" t="str">
        <f aca="false">IF(A425="","",IF(F425&gt;=20,"Gold",IF(F425&gt;=14,"Silver",IF(F425&gt;=8,"Bronze","—"))))</f>
        <v/>
      </c>
      <c r="H425" s="16" t="str">
        <f aca="false">IF(A425="","",IFERROR(TEXT(maxifs(Completions!G:G,Completions!A:A,A425),"yyyy-mm-dd hh:mm"),"—"))</f>
        <v/>
      </c>
    </row>
    <row r="426" customFormat="false" ht="21.75" hidden="false" customHeight="true" outlineLevel="0" collapsed="false">
      <c r="A426" s="17" t="str">
        <f aca="false">IFERROR(IF(Members!A423="","",Members!A423),"")</f>
        <v/>
      </c>
      <c r="B426" s="17" t="str">
        <f aca="false">IFERROR(IF(Members!A423="","",Members!B423),"")</f>
        <v/>
      </c>
      <c r="C426" s="17" t="str">
        <f aca="false">IFERROR(IF(Members!A423="","",Members!C423),"")</f>
        <v/>
      </c>
      <c r="D426" s="17" t="str">
        <f aca="false">IFERROR(IF(Members!A423="","",Members!D423),"")</f>
        <v/>
      </c>
      <c r="E426" s="17" t="str">
        <f aca="false">IF(A426="","",COUNTIF(Completions!A:A,A426))</f>
        <v/>
      </c>
      <c r="F426" s="17" t="str">
        <f aca="false">IF(A426="","",SUMPRODUCT((Completions!A$2:A$5000=A426)*IFERROR(VLOOKUP(Completions!B$2:B$5000,$J$4:$K$18,2,FALSE()),0)))</f>
        <v/>
      </c>
      <c r="G426" s="17" t="str">
        <f aca="false">IF(A426="","",IF(F426&gt;=20,"Gold",IF(F426&gt;=14,"Silver",IF(F426&gt;=8,"Bronze","—"))))</f>
        <v/>
      </c>
      <c r="H426" s="17" t="str">
        <f aca="false">IF(A426="","",IFERROR(TEXT(maxifs(Completions!G:G,Completions!A:A,A426),"yyyy-mm-dd hh:mm"),"—"))</f>
        <v/>
      </c>
    </row>
    <row r="427" customFormat="false" ht="21.75" hidden="false" customHeight="true" outlineLevel="0" collapsed="false">
      <c r="A427" s="16" t="str">
        <f aca="false">IFERROR(IF(Members!A424="","",Members!A424),"")</f>
        <v/>
      </c>
      <c r="B427" s="16" t="str">
        <f aca="false">IFERROR(IF(Members!A424="","",Members!B424),"")</f>
        <v/>
      </c>
      <c r="C427" s="16" t="str">
        <f aca="false">IFERROR(IF(Members!A424="","",Members!C424),"")</f>
        <v/>
      </c>
      <c r="D427" s="16" t="str">
        <f aca="false">IFERROR(IF(Members!A424="","",Members!D424),"")</f>
        <v/>
      </c>
      <c r="E427" s="16" t="str">
        <f aca="false">IF(A427="","",COUNTIF(Completions!A:A,A427))</f>
        <v/>
      </c>
      <c r="F427" s="16" t="str">
        <f aca="false">IF(A427="","",SUMPRODUCT((Completions!A$2:A$5000=A427)*IFERROR(VLOOKUP(Completions!B$2:B$5000,$J$4:$K$18,2,FALSE()),0)))</f>
        <v/>
      </c>
      <c r="G427" s="16" t="str">
        <f aca="false">IF(A427="","",IF(F427&gt;=20,"Gold",IF(F427&gt;=14,"Silver",IF(F427&gt;=8,"Bronze","—"))))</f>
        <v/>
      </c>
      <c r="H427" s="16" t="str">
        <f aca="false">IF(A427="","",IFERROR(TEXT(maxifs(Completions!G:G,Completions!A:A,A427),"yyyy-mm-dd hh:mm"),"—"))</f>
        <v/>
      </c>
    </row>
    <row r="428" customFormat="false" ht="21.75" hidden="false" customHeight="true" outlineLevel="0" collapsed="false">
      <c r="A428" s="17" t="str">
        <f aca="false">IFERROR(IF(Members!A425="","",Members!A425),"")</f>
        <v/>
      </c>
      <c r="B428" s="17" t="str">
        <f aca="false">IFERROR(IF(Members!A425="","",Members!B425),"")</f>
        <v/>
      </c>
      <c r="C428" s="17" t="str">
        <f aca="false">IFERROR(IF(Members!A425="","",Members!C425),"")</f>
        <v/>
      </c>
      <c r="D428" s="17" t="str">
        <f aca="false">IFERROR(IF(Members!A425="","",Members!D425),"")</f>
        <v/>
      </c>
      <c r="E428" s="17" t="str">
        <f aca="false">IF(A428="","",COUNTIF(Completions!A:A,A428))</f>
        <v/>
      </c>
      <c r="F428" s="17" t="str">
        <f aca="false">IF(A428="","",SUMPRODUCT((Completions!A$2:A$5000=A428)*IFERROR(VLOOKUP(Completions!B$2:B$5000,$J$4:$K$18,2,FALSE()),0)))</f>
        <v/>
      </c>
      <c r="G428" s="17" t="str">
        <f aca="false">IF(A428="","",IF(F428&gt;=20,"Gold",IF(F428&gt;=14,"Silver",IF(F428&gt;=8,"Bronze","—"))))</f>
        <v/>
      </c>
      <c r="H428" s="17" t="str">
        <f aca="false">IF(A428="","",IFERROR(TEXT(maxifs(Completions!G:G,Completions!A:A,A428),"yyyy-mm-dd hh:mm"),"—"))</f>
        <v/>
      </c>
    </row>
    <row r="429" customFormat="false" ht="21.75" hidden="false" customHeight="true" outlineLevel="0" collapsed="false">
      <c r="A429" s="16" t="str">
        <f aca="false">IFERROR(IF(Members!A426="","",Members!A426),"")</f>
        <v/>
      </c>
      <c r="B429" s="16" t="str">
        <f aca="false">IFERROR(IF(Members!A426="","",Members!B426),"")</f>
        <v/>
      </c>
      <c r="C429" s="16" t="str">
        <f aca="false">IFERROR(IF(Members!A426="","",Members!C426),"")</f>
        <v/>
      </c>
      <c r="D429" s="16" t="str">
        <f aca="false">IFERROR(IF(Members!A426="","",Members!D426),"")</f>
        <v/>
      </c>
      <c r="E429" s="16" t="str">
        <f aca="false">IF(A429="","",COUNTIF(Completions!A:A,A429))</f>
        <v/>
      </c>
      <c r="F429" s="16" t="str">
        <f aca="false">IF(A429="","",SUMPRODUCT((Completions!A$2:A$5000=A429)*IFERROR(VLOOKUP(Completions!B$2:B$5000,$J$4:$K$18,2,FALSE()),0)))</f>
        <v/>
      </c>
      <c r="G429" s="16" t="str">
        <f aca="false">IF(A429="","",IF(F429&gt;=20,"Gold",IF(F429&gt;=14,"Silver",IF(F429&gt;=8,"Bronze","—"))))</f>
        <v/>
      </c>
      <c r="H429" s="16" t="str">
        <f aca="false">IF(A429="","",IFERROR(TEXT(maxifs(Completions!G:G,Completions!A:A,A429),"yyyy-mm-dd hh:mm"),"—"))</f>
        <v/>
      </c>
    </row>
    <row r="430" customFormat="false" ht="21.75" hidden="false" customHeight="true" outlineLevel="0" collapsed="false">
      <c r="A430" s="17" t="str">
        <f aca="false">IFERROR(IF(Members!A427="","",Members!A427),"")</f>
        <v/>
      </c>
      <c r="B430" s="17" t="str">
        <f aca="false">IFERROR(IF(Members!A427="","",Members!B427),"")</f>
        <v/>
      </c>
      <c r="C430" s="17" t="str">
        <f aca="false">IFERROR(IF(Members!A427="","",Members!C427),"")</f>
        <v/>
      </c>
      <c r="D430" s="17" t="str">
        <f aca="false">IFERROR(IF(Members!A427="","",Members!D427),"")</f>
        <v/>
      </c>
      <c r="E430" s="17" t="str">
        <f aca="false">IF(A430="","",COUNTIF(Completions!A:A,A430))</f>
        <v/>
      </c>
      <c r="F430" s="17" t="str">
        <f aca="false">IF(A430="","",SUMPRODUCT((Completions!A$2:A$5000=A430)*IFERROR(VLOOKUP(Completions!B$2:B$5000,$J$4:$K$18,2,FALSE()),0)))</f>
        <v/>
      </c>
      <c r="G430" s="17" t="str">
        <f aca="false">IF(A430="","",IF(F430&gt;=20,"Gold",IF(F430&gt;=14,"Silver",IF(F430&gt;=8,"Bronze","—"))))</f>
        <v/>
      </c>
      <c r="H430" s="17" t="str">
        <f aca="false">IF(A430="","",IFERROR(TEXT(maxifs(Completions!G:G,Completions!A:A,A430),"yyyy-mm-dd hh:mm"),"—"))</f>
        <v/>
      </c>
    </row>
    <row r="431" customFormat="false" ht="21.75" hidden="false" customHeight="true" outlineLevel="0" collapsed="false">
      <c r="A431" s="16" t="str">
        <f aca="false">IFERROR(IF(Members!A428="","",Members!A428),"")</f>
        <v/>
      </c>
      <c r="B431" s="16" t="str">
        <f aca="false">IFERROR(IF(Members!A428="","",Members!B428),"")</f>
        <v/>
      </c>
      <c r="C431" s="16" t="str">
        <f aca="false">IFERROR(IF(Members!A428="","",Members!C428),"")</f>
        <v/>
      </c>
      <c r="D431" s="16" t="str">
        <f aca="false">IFERROR(IF(Members!A428="","",Members!D428),"")</f>
        <v/>
      </c>
      <c r="E431" s="16" t="str">
        <f aca="false">IF(A431="","",COUNTIF(Completions!A:A,A431))</f>
        <v/>
      </c>
      <c r="F431" s="16" t="str">
        <f aca="false">IF(A431="","",SUMPRODUCT((Completions!A$2:A$5000=A431)*IFERROR(VLOOKUP(Completions!B$2:B$5000,$J$4:$K$18,2,FALSE()),0)))</f>
        <v/>
      </c>
      <c r="G431" s="16" t="str">
        <f aca="false">IF(A431="","",IF(F431&gt;=20,"Gold",IF(F431&gt;=14,"Silver",IF(F431&gt;=8,"Bronze","—"))))</f>
        <v/>
      </c>
      <c r="H431" s="16" t="str">
        <f aca="false">IF(A431="","",IFERROR(TEXT(maxifs(Completions!G:G,Completions!A:A,A431),"yyyy-mm-dd hh:mm"),"—"))</f>
        <v/>
      </c>
    </row>
    <row r="432" customFormat="false" ht="21.75" hidden="false" customHeight="true" outlineLevel="0" collapsed="false">
      <c r="A432" s="17" t="str">
        <f aca="false">IFERROR(IF(Members!A429="","",Members!A429),"")</f>
        <v/>
      </c>
      <c r="B432" s="17" t="str">
        <f aca="false">IFERROR(IF(Members!A429="","",Members!B429),"")</f>
        <v/>
      </c>
      <c r="C432" s="17" t="str">
        <f aca="false">IFERROR(IF(Members!A429="","",Members!C429),"")</f>
        <v/>
      </c>
      <c r="D432" s="17" t="str">
        <f aca="false">IFERROR(IF(Members!A429="","",Members!D429),"")</f>
        <v/>
      </c>
      <c r="E432" s="17" t="str">
        <f aca="false">IF(A432="","",COUNTIF(Completions!A:A,A432))</f>
        <v/>
      </c>
      <c r="F432" s="17" t="str">
        <f aca="false">IF(A432="","",SUMPRODUCT((Completions!A$2:A$5000=A432)*IFERROR(VLOOKUP(Completions!B$2:B$5000,$J$4:$K$18,2,FALSE()),0)))</f>
        <v/>
      </c>
      <c r="G432" s="17" t="str">
        <f aca="false">IF(A432="","",IF(F432&gt;=20,"Gold",IF(F432&gt;=14,"Silver",IF(F432&gt;=8,"Bronze","—"))))</f>
        <v/>
      </c>
      <c r="H432" s="17" t="str">
        <f aca="false">IF(A432="","",IFERROR(TEXT(maxifs(Completions!G:G,Completions!A:A,A432),"yyyy-mm-dd hh:mm"),"—"))</f>
        <v/>
      </c>
    </row>
    <row r="433" customFormat="false" ht="21.75" hidden="false" customHeight="true" outlineLevel="0" collapsed="false">
      <c r="A433" s="16" t="str">
        <f aca="false">IFERROR(IF(Members!A430="","",Members!A430),"")</f>
        <v/>
      </c>
      <c r="B433" s="16" t="str">
        <f aca="false">IFERROR(IF(Members!A430="","",Members!B430),"")</f>
        <v/>
      </c>
      <c r="C433" s="16" t="str">
        <f aca="false">IFERROR(IF(Members!A430="","",Members!C430),"")</f>
        <v/>
      </c>
      <c r="D433" s="16" t="str">
        <f aca="false">IFERROR(IF(Members!A430="","",Members!D430),"")</f>
        <v/>
      </c>
      <c r="E433" s="16" t="str">
        <f aca="false">IF(A433="","",COUNTIF(Completions!A:A,A433))</f>
        <v/>
      </c>
      <c r="F433" s="16" t="str">
        <f aca="false">IF(A433="","",SUMPRODUCT((Completions!A$2:A$5000=A433)*IFERROR(VLOOKUP(Completions!B$2:B$5000,$J$4:$K$18,2,FALSE()),0)))</f>
        <v/>
      </c>
      <c r="G433" s="16" t="str">
        <f aca="false">IF(A433="","",IF(F433&gt;=20,"Gold",IF(F433&gt;=14,"Silver",IF(F433&gt;=8,"Bronze","—"))))</f>
        <v/>
      </c>
      <c r="H433" s="16" t="str">
        <f aca="false">IF(A433="","",IFERROR(TEXT(maxifs(Completions!G:G,Completions!A:A,A433),"yyyy-mm-dd hh:mm"),"—"))</f>
        <v/>
      </c>
    </row>
    <row r="434" customFormat="false" ht="21.75" hidden="false" customHeight="true" outlineLevel="0" collapsed="false">
      <c r="A434" s="17" t="str">
        <f aca="false">IFERROR(IF(Members!A431="","",Members!A431),"")</f>
        <v/>
      </c>
      <c r="B434" s="17" t="str">
        <f aca="false">IFERROR(IF(Members!A431="","",Members!B431),"")</f>
        <v/>
      </c>
      <c r="C434" s="17" t="str">
        <f aca="false">IFERROR(IF(Members!A431="","",Members!C431),"")</f>
        <v/>
      </c>
      <c r="D434" s="17" t="str">
        <f aca="false">IFERROR(IF(Members!A431="","",Members!D431),"")</f>
        <v/>
      </c>
      <c r="E434" s="17" t="str">
        <f aca="false">IF(A434="","",COUNTIF(Completions!A:A,A434))</f>
        <v/>
      </c>
      <c r="F434" s="17" t="str">
        <f aca="false">IF(A434="","",SUMPRODUCT((Completions!A$2:A$5000=A434)*IFERROR(VLOOKUP(Completions!B$2:B$5000,$J$4:$K$18,2,FALSE()),0)))</f>
        <v/>
      </c>
      <c r="G434" s="17" t="str">
        <f aca="false">IF(A434="","",IF(F434&gt;=20,"Gold",IF(F434&gt;=14,"Silver",IF(F434&gt;=8,"Bronze","—"))))</f>
        <v/>
      </c>
      <c r="H434" s="17" t="str">
        <f aca="false">IF(A434="","",IFERROR(TEXT(maxifs(Completions!G:G,Completions!A:A,A434),"yyyy-mm-dd hh:mm"),"—"))</f>
        <v/>
      </c>
    </row>
    <row r="435" customFormat="false" ht="21.75" hidden="false" customHeight="true" outlineLevel="0" collapsed="false">
      <c r="A435" s="16" t="str">
        <f aca="false">IFERROR(IF(Members!A432="","",Members!A432),"")</f>
        <v/>
      </c>
      <c r="B435" s="16" t="str">
        <f aca="false">IFERROR(IF(Members!A432="","",Members!B432),"")</f>
        <v/>
      </c>
      <c r="C435" s="16" t="str">
        <f aca="false">IFERROR(IF(Members!A432="","",Members!C432),"")</f>
        <v/>
      </c>
      <c r="D435" s="16" t="str">
        <f aca="false">IFERROR(IF(Members!A432="","",Members!D432),"")</f>
        <v/>
      </c>
      <c r="E435" s="16" t="str">
        <f aca="false">IF(A435="","",COUNTIF(Completions!A:A,A435))</f>
        <v/>
      </c>
      <c r="F435" s="16" t="str">
        <f aca="false">IF(A435="","",SUMPRODUCT((Completions!A$2:A$5000=A435)*IFERROR(VLOOKUP(Completions!B$2:B$5000,$J$4:$K$18,2,FALSE()),0)))</f>
        <v/>
      </c>
      <c r="G435" s="16" t="str">
        <f aca="false">IF(A435="","",IF(F435&gt;=20,"Gold",IF(F435&gt;=14,"Silver",IF(F435&gt;=8,"Bronze","—"))))</f>
        <v/>
      </c>
      <c r="H435" s="16" t="str">
        <f aca="false">IF(A435="","",IFERROR(TEXT(maxifs(Completions!G:G,Completions!A:A,A435),"yyyy-mm-dd hh:mm"),"—"))</f>
        <v/>
      </c>
    </row>
    <row r="436" customFormat="false" ht="21.75" hidden="false" customHeight="true" outlineLevel="0" collapsed="false">
      <c r="A436" s="17" t="str">
        <f aca="false">IFERROR(IF(Members!A433="","",Members!A433),"")</f>
        <v/>
      </c>
      <c r="B436" s="17" t="str">
        <f aca="false">IFERROR(IF(Members!A433="","",Members!B433),"")</f>
        <v/>
      </c>
      <c r="C436" s="17" t="str">
        <f aca="false">IFERROR(IF(Members!A433="","",Members!C433),"")</f>
        <v/>
      </c>
      <c r="D436" s="17" t="str">
        <f aca="false">IFERROR(IF(Members!A433="","",Members!D433),"")</f>
        <v/>
      </c>
      <c r="E436" s="17" t="str">
        <f aca="false">IF(A436="","",COUNTIF(Completions!A:A,A436))</f>
        <v/>
      </c>
      <c r="F436" s="17" t="str">
        <f aca="false">IF(A436="","",SUMPRODUCT((Completions!A$2:A$5000=A436)*IFERROR(VLOOKUP(Completions!B$2:B$5000,$J$4:$K$18,2,FALSE()),0)))</f>
        <v/>
      </c>
      <c r="G436" s="17" t="str">
        <f aca="false">IF(A436="","",IF(F436&gt;=20,"Gold",IF(F436&gt;=14,"Silver",IF(F436&gt;=8,"Bronze","—"))))</f>
        <v/>
      </c>
      <c r="H436" s="17" t="str">
        <f aca="false">IF(A436="","",IFERROR(TEXT(maxifs(Completions!G:G,Completions!A:A,A436),"yyyy-mm-dd hh:mm"),"—"))</f>
        <v/>
      </c>
    </row>
    <row r="437" customFormat="false" ht="21.75" hidden="false" customHeight="true" outlineLevel="0" collapsed="false">
      <c r="A437" s="16" t="str">
        <f aca="false">IFERROR(IF(Members!A434="","",Members!A434),"")</f>
        <v/>
      </c>
      <c r="B437" s="16" t="str">
        <f aca="false">IFERROR(IF(Members!A434="","",Members!B434),"")</f>
        <v/>
      </c>
      <c r="C437" s="16" t="str">
        <f aca="false">IFERROR(IF(Members!A434="","",Members!C434),"")</f>
        <v/>
      </c>
      <c r="D437" s="16" t="str">
        <f aca="false">IFERROR(IF(Members!A434="","",Members!D434),"")</f>
        <v/>
      </c>
      <c r="E437" s="16" t="str">
        <f aca="false">IF(A437="","",COUNTIF(Completions!A:A,A437))</f>
        <v/>
      </c>
      <c r="F437" s="16" t="str">
        <f aca="false">IF(A437="","",SUMPRODUCT((Completions!A$2:A$5000=A437)*IFERROR(VLOOKUP(Completions!B$2:B$5000,$J$4:$K$18,2,FALSE()),0)))</f>
        <v/>
      </c>
      <c r="G437" s="16" t="str">
        <f aca="false">IF(A437="","",IF(F437&gt;=20,"Gold",IF(F437&gt;=14,"Silver",IF(F437&gt;=8,"Bronze","—"))))</f>
        <v/>
      </c>
      <c r="H437" s="16" t="str">
        <f aca="false">IF(A437="","",IFERROR(TEXT(maxifs(Completions!G:G,Completions!A:A,A437),"yyyy-mm-dd hh:mm"),"—"))</f>
        <v/>
      </c>
    </row>
    <row r="438" customFormat="false" ht="21.75" hidden="false" customHeight="true" outlineLevel="0" collapsed="false">
      <c r="A438" s="17" t="str">
        <f aca="false">IFERROR(IF(Members!A435="","",Members!A435),"")</f>
        <v/>
      </c>
      <c r="B438" s="17" t="str">
        <f aca="false">IFERROR(IF(Members!A435="","",Members!B435),"")</f>
        <v/>
      </c>
      <c r="C438" s="17" t="str">
        <f aca="false">IFERROR(IF(Members!A435="","",Members!C435),"")</f>
        <v/>
      </c>
      <c r="D438" s="17" t="str">
        <f aca="false">IFERROR(IF(Members!A435="","",Members!D435),"")</f>
        <v/>
      </c>
      <c r="E438" s="17" t="str">
        <f aca="false">IF(A438="","",COUNTIF(Completions!A:A,A438))</f>
        <v/>
      </c>
      <c r="F438" s="17" t="str">
        <f aca="false">IF(A438="","",SUMPRODUCT((Completions!A$2:A$5000=A438)*IFERROR(VLOOKUP(Completions!B$2:B$5000,$J$4:$K$18,2,FALSE()),0)))</f>
        <v/>
      </c>
      <c r="G438" s="17" t="str">
        <f aca="false">IF(A438="","",IF(F438&gt;=20,"Gold",IF(F438&gt;=14,"Silver",IF(F438&gt;=8,"Bronze","—"))))</f>
        <v/>
      </c>
      <c r="H438" s="17" t="str">
        <f aca="false">IF(A438="","",IFERROR(TEXT(maxifs(Completions!G:G,Completions!A:A,A438),"yyyy-mm-dd hh:mm"),"—"))</f>
        <v/>
      </c>
    </row>
    <row r="439" customFormat="false" ht="21.75" hidden="false" customHeight="true" outlineLevel="0" collapsed="false">
      <c r="A439" s="16" t="str">
        <f aca="false">IFERROR(IF(Members!A436="","",Members!A436),"")</f>
        <v/>
      </c>
      <c r="B439" s="16" t="str">
        <f aca="false">IFERROR(IF(Members!A436="","",Members!B436),"")</f>
        <v/>
      </c>
      <c r="C439" s="16" t="str">
        <f aca="false">IFERROR(IF(Members!A436="","",Members!C436),"")</f>
        <v/>
      </c>
      <c r="D439" s="16" t="str">
        <f aca="false">IFERROR(IF(Members!A436="","",Members!D436),"")</f>
        <v/>
      </c>
      <c r="E439" s="16" t="str">
        <f aca="false">IF(A439="","",COUNTIF(Completions!A:A,A439))</f>
        <v/>
      </c>
      <c r="F439" s="16" t="str">
        <f aca="false">IF(A439="","",SUMPRODUCT((Completions!A$2:A$5000=A439)*IFERROR(VLOOKUP(Completions!B$2:B$5000,$J$4:$K$18,2,FALSE()),0)))</f>
        <v/>
      </c>
      <c r="G439" s="16" t="str">
        <f aca="false">IF(A439="","",IF(F439&gt;=20,"Gold",IF(F439&gt;=14,"Silver",IF(F439&gt;=8,"Bronze","—"))))</f>
        <v/>
      </c>
      <c r="H439" s="16" t="str">
        <f aca="false">IF(A439="","",IFERROR(TEXT(maxifs(Completions!G:G,Completions!A:A,A439),"yyyy-mm-dd hh:mm"),"—"))</f>
        <v/>
      </c>
    </row>
    <row r="440" customFormat="false" ht="21.75" hidden="false" customHeight="true" outlineLevel="0" collapsed="false">
      <c r="A440" s="17" t="str">
        <f aca="false">IFERROR(IF(Members!A437="","",Members!A437),"")</f>
        <v/>
      </c>
      <c r="B440" s="17" t="str">
        <f aca="false">IFERROR(IF(Members!A437="","",Members!B437),"")</f>
        <v/>
      </c>
      <c r="C440" s="17" t="str">
        <f aca="false">IFERROR(IF(Members!A437="","",Members!C437),"")</f>
        <v/>
      </c>
      <c r="D440" s="17" t="str">
        <f aca="false">IFERROR(IF(Members!A437="","",Members!D437),"")</f>
        <v/>
      </c>
      <c r="E440" s="17" t="str">
        <f aca="false">IF(A440="","",COUNTIF(Completions!A:A,A440))</f>
        <v/>
      </c>
      <c r="F440" s="17" t="str">
        <f aca="false">IF(A440="","",SUMPRODUCT((Completions!A$2:A$5000=A440)*IFERROR(VLOOKUP(Completions!B$2:B$5000,$J$4:$K$18,2,FALSE()),0)))</f>
        <v/>
      </c>
      <c r="G440" s="17" t="str">
        <f aca="false">IF(A440="","",IF(F440&gt;=20,"Gold",IF(F440&gt;=14,"Silver",IF(F440&gt;=8,"Bronze","—"))))</f>
        <v/>
      </c>
      <c r="H440" s="17" t="str">
        <f aca="false">IF(A440="","",IFERROR(TEXT(maxifs(Completions!G:G,Completions!A:A,A440),"yyyy-mm-dd hh:mm"),"—"))</f>
        <v/>
      </c>
    </row>
    <row r="441" customFormat="false" ht="21.75" hidden="false" customHeight="true" outlineLevel="0" collapsed="false">
      <c r="A441" s="16" t="str">
        <f aca="false">IFERROR(IF(Members!A438="","",Members!A438),"")</f>
        <v/>
      </c>
      <c r="B441" s="16" t="str">
        <f aca="false">IFERROR(IF(Members!A438="","",Members!B438),"")</f>
        <v/>
      </c>
      <c r="C441" s="16" t="str">
        <f aca="false">IFERROR(IF(Members!A438="","",Members!C438),"")</f>
        <v/>
      </c>
      <c r="D441" s="16" t="str">
        <f aca="false">IFERROR(IF(Members!A438="","",Members!D438),"")</f>
        <v/>
      </c>
      <c r="E441" s="16" t="str">
        <f aca="false">IF(A441="","",COUNTIF(Completions!A:A,A441))</f>
        <v/>
      </c>
      <c r="F441" s="16" t="str">
        <f aca="false">IF(A441="","",SUMPRODUCT((Completions!A$2:A$5000=A441)*IFERROR(VLOOKUP(Completions!B$2:B$5000,$J$4:$K$18,2,FALSE()),0)))</f>
        <v/>
      </c>
      <c r="G441" s="16" t="str">
        <f aca="false">IF(A441="","",IF(F441&gt;=20,"Gold",IF(F441&gt;=14,"Silver",IF(F441&gt;=8,"Bronze","—"))))</f>
        <v/>
      </c>
      <c r="H441" s="16" t="str">
        <f aca="false">IF(A441="","",IFERROR(TEXT(maxifs(Completions!G:G,Completions!A:A,A441),"yyyy-mm-dd hh:mm"),"—"))</f>
        <v/>
      </c>
    </row>
    <row r="442" customFormat="false" ht="21.75" hidden="false" customHeight="true" outlineLevel="0" collapsed="false">
      <c r="A442" s="17" t="str">
        <f aca="false">IFERROR(IF(Members!A439="","",Members!A439),"")</f>
        <v/>
      </c>
      <c r="B442" s="17" t="str">
        <f aca="false">IFERROR(IF(Members!A439="","",Members!B439),"")</f>
        <v/>
      </c>
      <c r="C442" s="17" t="str">
        <f aca="false">IFERROR(IF(Members!A439="","",Members!C439),"")</f>
        <v/>
      </c>
      <c r="D442" s="17" t="str">
        <f aca="false">IFERROR(IF(Members!A439="","",Members!D439),"")</f>
        <v/>
      </c>
      <c r="E442" s="17" t="str">
        <f aca="false">IF(A442="","",COUNTIF(Completions!A:A,A442))</f>
        <v/>
      </c>
      <c r="F442" s="17" t="str">
        <f aca="false">IF(A442="","",SUMPRODUCT((Completions!A$2:A$5000=A442)*IFERROR(VLOOKUP(Completions!B$2:B$5000,$J$4:$K$18,2,FALSE()),0)))</f>
        <v/>
      </c>
      <c r="G442" s="17" t="str">
        <f aca="false">IF(A442="","",IF(F442&gt;=20,"Gold",IF(F442&gt;=14,"Silver",IF(F442&gt;=8,"Bronze","—"))))</f>
        <v/>
      </c>
      <c r="H442" s="17" t="str">
        <f aca="false">IF(A442="","",IFERROR(TEXT(maxifs(Completions!G:G,Completions!A:A,A442),"yyyy-mm-dd hh:mm"),"—"))</f>
        <v/>
      </c>
    </row>
    <row r="443" customFormat="false" ht="21.75" hidden="false" customHeight="true" outlineLevel="0" collapsed="false">
      <c r="A443" s="16" t="str">
        <f aca="false">IFERROR(IF(Members!A440="","",Members!A440),"")</f>
        <v/>
      </c>
      <c r="B443" s="16" t="str">
        <f aca="false">IFERROR(IF(Members!A440="","",Members!B440),"")</f>
        <v/>
      </c>
      <c r="C443" s="16" t="str">
        <f aca="false">IFERROR(IF(Members!A440="","",Members!C440),"")</f>
        <v/>
      </c>
      <c r="D443" s="16" t="str">
        <f aca="false">IFERROR(IF(Members!A440="","",Members!D440),"")</f>
        <v/>
      </c>
      <c r="E443" s="16" t="str">
        <f aca="false">IF(A443="","",COUNTIF(Completions!A:A,A443))</f>
        <v/>
      </c>
      <c r="F443" s="16" t="str">
        <f aca="false">IF(A443="","",SUMPRODUCT((Completions!A$2:A$5000=A443)*IFERROR(VLOOKUP(Completions!B$2:B$5000,$J$4:$K$18,2,FALSE()),0)))</f>
        <v/>
      </c>
      <c r="G443" s="16" t="str">
        <f aca="false">IF(A443="","",IF(F443&gt;=20,"Gold",IF(F443&gt;=14,"Silver",IF(F443&gt;=8,"Bronze","—"))))</f>
        <v/>
      </c>
      <c r="H443" s="16" t="str">
        <f aca="false">IF(A443="","",IFERROR(TEXT(maxifs(Completions!G:G,Completions!A:A,A443),"yyyy-mm-dd hh:mm"),"—"))</f>
        <v/>
      </c>
    </row>
    <row r="444" customFormat="false" ht="21.75" hidden="false" customHeight="true" outlineLevel="0" collapsed="false">
      <c r="A444" s="17" t="str">
        <f aca="false">IFERROR(IF(Members!A441="","",Members!A441),"")</f>
        <v/>
      </c>
      <c r="B444" s="17" t="str">
        <f aca="false">IFERROR(IF(Members!A441="","",Members!B441),"")</f>
        <v/>
      </c>
      <c r="C444" s="17" t="str">
        <f aca="false">IFERROR(IF(Members!A441="","",Members!C441),"")</f>
        <v/>
      </c>
      <c r="D444" s="17" t="str">
        <f aca="false">IFERROR(IF(Members!A441="","",Members!D441),"")</f>
        <v/>
      </c>
      <c r="E444" s="17" t="str">
        <f aca="false">IF(A444="","",COUNTIF(Completions!A:A,A444))</f>
        <v/>
      </c>
      <c r="F444" s="17" t="str">
        <f aca="false">IF(A444="","",SUMPRODUCT((Completions!A$2:A$5000=A444)*IFERROR(VLOOKUP(Completions!B$2:B$5000,$J$4:$K$18,2,FALSE()),0)))</f>
        <v/>
      </c>
      <c r="G444" s="17" t="str">
        <f aca="false">IF(A444="","",IF(F444&gt;=20,"Gold",IF(F444&gt;=14,"Silver",IF(F444&gt;=8,"Bronze","—"))))</f>
        <v/>
      </c>
      <c r="H444" s="17" t="str">
        <f aca="false">IF(A444="","",IFERROR(TEXT(maxifs(Completions!G:G,Completions!A:A,A444),"yyyy-mm-dd hh:mm"),"—"))</f>
        <v/>
      </c>
    </row>
    <row r="445" customFormat="false" ht="21.75" hidden="false" customHeight="true" outlineLevel="0" collapsed="false">
      <c r="A445" s="16" t="str">
        <f aca="false">IFERROR(IF(Members!A442="","",Members!A442),"")</f>
        <v/>
      </c>
      <c r="B445" s="16" t="str">
        <f aca="false">IFERROR(IF(Members!A442="","",Members!B442),"")</f>
        <v/>
      </c>
      <c r="C445" s="16" t="str">
        <f aca="false">IFERROR(IF(Members!A442="","",Members!C442),"")</f>
        <v/>
      </c>
      <c r="D445" s="16" t="str">
        <f aca="false">IFERROR(IF(Members!A442="","",Members!D442),"")</f>
        <v/>
      </c>
      <c r="E445" s="16" t="str">
        <f aca="false">IF(A445="","",COUNTIF(Completions!A:A,A445))</f>
        <v/>
      </c>
      <c r="F445" s="16" t="str">
        <f aca="false">IF(A445="","",SUMPRODUCT((Completions!A$2:A$5000=A445)*IFERROR(VLOOKUP(Completions!B$2:B$5000,$J$4:$K$18,2,FALSE()),0)))</f>
        <v/>
      </c>
      <c r="G445" s="16" t="str">
        <f aca="false">IF(A445="","",IF(F445&gt;=20,"Gold",IF(F445&gt;=14,"Silver",IF(F445&gt;=8,"Bronze","—"))))</f>
        <v/>
      </c>
      <c r="H445" s="16" t="str">
        <f aca="false">IF(A445="","",IFERROR(TEXT(maxifs(Completions!G:G,Completions!A:A,A445),"yyyy-mm-dd hh:mm"),"—"))</f>
        <v/>
      </c>
    </row>
    <row r="446" customFormat="false" ht="21.75" hidden="false" customHeight="true" outlineLevel="0" collapsed="false">
      <c r="A446" s="17" t="str">
        <f aca="false">IFERROR(IF(Members!A443="","",Members!A443),"")</f>
        <v/>
      </c>
      <c r="B446" s="17" t="str">
        <f aca="false">IFERROR(IF(Members!A443="","",Members!B443),"")</f>
        <v/>
      </c>
      <c r="C446" s="17" t="str">
        <f aca="false">IFERROR(IF(Members!A443="","",Members!C443),"")</f>
        <v/>
      </c>
      <c r="D446" s="17" t="str">
        <f aca="false">IFERROR(IF(Members!A443="","",Members!D443),"")</f>
        <v/>
      </c>
      <c r="E446" s="17" t="str">
        <f aca="false">IF(A446="","",COUNTIF(Completions!A:A,A446))</f>
        <v/>
      </c>
      <c r="F446" s="17" t="str">
        <f aca="false">IF(A446="","",SUMPRODUCT((Completions!A$2:A$5000=A446)*IFERROR(VLOOKUP(Completions!B$2:B$5000,$J$4:$K$18,2,FALSE()),0)))</f>
        <v/>
      </c>
      <c r="G446" s="17" t="str">
        <f aca="false">IF(A446="","",IF(F446&gt;=20,"Gold",IF(F446&gt;=14,"Silver",IF(F446&gt;=8,"Bronze","—"))))</f>
        <v/>
      </c>
      <c r="H446" s="17" t="str">
        <f aca="false">IF(A446="","",IFERROR(TEXT(maxifs(Completions!G:G,Completions!A:A,A446),"yyyy-mm-dd hh:mm"),"—"))</f>
        <v/>
      </c>
    </row>
    <row r="447" customFormat="false" ht="21.75" hidden="false" customHeight="true" outlineLevel="0" collapsed="false">
      <c r="A447" s="16" t="str">
        <f aca="false">IFERROR(IF(Members!A444="","",Members!A444),"")</f>
        <v/>
      </c>
      <c r="B447" s="16" t="str">
        <f aca="false">IFERROR(IF(Members!A444="","",Members!B444),"")</f>
        <v/>
      </c>
      <c r="C447" s="16" t="str">
        <f aca="false">IFERROR(IF(Members!A444="","",Members!C444),"")</f>
        <v/>
      </c>
      <c r="D447" s="16" t="str">
        <f aca="false">IFERROR(IF(Members!A444="","",Members!D444),"")</f>
        <v/>
      </c>
      <c r="E447" s="16" t="str">
        <f aca="false">IF(A447="","",COUNTIF(Completions!A:A,A447))</f>
        <v/>
      </c>
      <c r="F447" s="16" t="str">
        <f aca="false">IF(A447="","",SUMPRODUCT((Completions!A$2:A$5000=A447)*IFERROR(VLOOKUP(Completions!B$2:B$5000,$J$4:$K$18,2,FALSE()),0)))</f>
        <v/>
      </c>
      <c r="G447" s="16" t="str">
        <f aca="false">IF(A447="","",IF(F447&gt;=20,"Gold",IF(F447&gt;=14,"Silver",IF(F447&gt;=8,"Bronze","—"))))</f>
        <v/>
      </c>
      <c r="H447" s="16" t="str">
        <f aca="false">IF(A447="","",IFERROR(TEXT(maxifs(Completions!G:G,Completions!A:A,A447),"yyyy-mm-dd hh:mm"),"—"))</f>
        <v/>
      </c>
    </row>
    <row r="448" customFormat="false" ht="21.75" hidden="false" customHeight="true" outlineLevel="0" collapsed="false">
      <c r="A448" s="17" t="str">
        <f aca="false">IFERROR(IF(Members!A445="","",Members!A445),"")</f>
        <v/>
      </c>
      <c r="B448" s="17" t="str">
        <f aca="false">IFERROR(IF(Members!A445="","",Members!B445),"")</f>
        <v/>
      </c>
      <c r="C448" s="17" t="str">
        <f aca="false">IFERROR(IF(Members!A445="","",Members!C445),"")</f>
        <v/>
      </c>
      <c r="D448" s="17" t="str">
        <f aca="false">IFERROR(IF(Members!A445="","",Members!D445),"")</f>
        <v/>
      </c>
      <c r="E448" s="17" t="str">
        <f aca="false">IF(A448="","",COUNTIF(Completions!A:A,A448))</f>
        <v/>
      </c>
      <c r="F448" s="17" t="str">
        <f aca="false">IF(A448="","",SUMPRODUCT((Completions!A$2:A$5000=A448)*IFERROR(VLOOKUP(Completions!B$2:B$5000,$J$4:$K$18,2,FALSE()),0)))</f>
        <v/>
      </c>
      <c r="G448" s="17" t="str">
        <f aca="false">IF(A448="","",IF(F448&gt;=20,"Gold",IF(F448&gt;=14,"Silver",IF(F448&gt;=8,"Bronze","—"))))</f>
        <v/>
      </c>
      <c r="H448" s="17" t="str">
        <f aca="false">IF(A448="","",IFERROR(TEXT(maxifs(Completions!G:G,Completions!A:A,A448),"yyyy-mm-dd hh:mm"),"—"))</f>
        <v/>
      </c>
    </row>
    <row r="449" customFormat="false" ht="21.75" hidden="false" customHeight="true" outlineLevel="0" collapsed="false">
      <c r="A449" s="16" t="str">
        <f aca="false">IFERROR(IF(Members!A446="","",Members!A446),"")</f>
        <v/>
      </c>
      <c r="B449" s="16" t="str">
        <f aca="false">IFERROR(IF(Members!A446="","",Members!B446),"")</f>
        <v/>
      </c>
      <c r="C449" s="16" t="str">
        <f aca="false">IFERROR(IF(Members!A446="","",Members!C446),"")</f>
        <v/>
      </c>
      <c r="D449" s="16" t="str">
        <f aca="false">IFERROR(IF(Members!A446="","",Members!D446),"")</f>
        <v/>
      </c>
      <c r="E449" s="16" t="str">
        <f aca="false">IF(A449="","",COUNTIF(Completions!A:A,A449))</f>
        <v/>
      </c>
      <c r="F449" s="16" t="str">
        <f aca="false">IF(A449="","",SUMPRODUCT((Completions!A$2:A$5000=A449)*IFERROR(VLOOKUP(Completions!B$2:B$5000,$J$4:$K$18,2,FALSE()),0)))</f>
        <v/>
      </c>
      <c r="G449" s="16" t="str">
        <f aca="false">IF(A449="","",IF(F449&gt;=20,"Gold",IF(F449&gt;=14,"Silver",IF(F449&gt;=8,"Bronze","—"))))</f>
        <v/>
      </c>
      <c r="H449" s="16" t="str">
        <f aca="false">IF(A449="","",IFERROR(TEXT(maxifs(Completions!G:G,Completions!A:A,A449),"yyyy-mm-dd hh:mm"),"—"))</f>
        <v/>
      </c>
    </row>
    <row r="450" customFormat="false" ht="21.75" hidden="false" customHeight="true" outlineLevel="0" collapsed="false">
      <c r="A450" s="17" t="str">
        <f aca="false">IFERROR(IF(Members!A447="","",Members!A447),"")</f>
        <v/>
      </c>
      <c r="B450" s="17" t="str">
        <f aca="false">IFERROR(IF(Members!A447="","",Members!B447),"")</f>
        <v/>
      </c>
      <c r="C450" s="17" t="str">
        <f aca="false">IFERROR(IF(Members!A447="","",Members!C447),"")</f>
        <v/>
      </c>
      <c r="D450" s="17" t="str">
        <f aca="false">IFERROR(IF(Members!A447="","",Members!D447),"")</f>
        <v/>
      </c>
      <c r="E450" s="17" t="str">
        <f aca="false">IF(A450="","",COUNTIF(Completions!A:A,A450))</f>
        <v/>
      </c>
      <c r="F450" s="17" t="str">
        <f aca="false">IF(A450="","",SUMPRODUCT((Completions!A$2:A$5000=A450)*IFERROR(VLOOKUP(Completions!B$2:B$5000,$J$4:$K$18,2,FALSE()),0)))</f>
        <v/>
      </c>
      <c r="G450" s="17" t="str">
        <f aca="false">IF(A450="","",IF(F450&gt;=20,"Gold",IF(F450&gt;=14,"Silver",IF(F450&gt;=8,"Bronze","—"))))</f>
        <v/>
      </c>
      <c r="H450" s="17" t="str">
        <f aca="false">IF(A450="","",IFERROR(TEXT(maxifs(Completions!G:G,Completions!A:A,A450),"yyyy-mm-dd hh:mm"),"—"))</f>
        <v/>
      </c>
    </row>
    <row r="451" customFormat="false" ht="21.75" hidden="false" customHeight="true" outlineLevel="0" collapsed="false">
      <c r="A451" s="16" t="str">
        <f aca="false">IFERROR(IF(Members!A448="","",Members!A448),"")</f>
        <v/>
      </c>
      <c r="B451" s="16" t="str">
        <f aca="false">IFERROR(IF(Members!A448="","",Members!B448),"")</f>
        <v/>
      </c>
      <c r="C451" s="16" t="str">
        <f aca="false">IFERROR(IF(Members!A448="","",Members!C448),"")</f>
        <v/>
      </c>
      <c r="D451" s="16" t="str">
        <f aca="false">IFERROR(IF(Members!A448="","",Members!D448),"")</f>
        <v/>
      </c>
      <c r="E451" s="16" t="str">
        <f aca="false">IF(A451="","",COUNTIF(Completions!A:A,A451))</f>
        <v/>
      </c>
      <c r="F451" s="16" t="str">
        <f aca="false">IF(A451="","",SUMPRODUCT((Completions!A$2:A$5000=A451)*IFERROR(VLOOKUP(Completions!B$2:B$5000,$J$4:$K$18,2,FALSE()),0)))</f>
        <v/>
      </c>
      <c r="G451" s="16" t="str">
        <f aca="false">IF(A451="","",IF(F451&gt;=20,"Gold",IF(F451&gt;=14,"Silver",IF(F451&gt;=8,"Bronze","—"))))</f>
        <v/>
      </c>
      <c r="H451" s="16" t="str">
        <f aca="false">IF(A451="","",IFERROR(TEXT(maxifs(Completions!G:G,Completions!A:A,A451),"yyyy-mm-dd hh:mm"),"—"))</f>
        <v/>
      </c>
    </row>
    <row r="452" customFormat="false" ht="21.75" hidden="false" customHeight="true" outlineLevel="0" collapsed="false">
      <c r="A452" s="17" t="str">
        <f aca="false">IFERROR(IF(Members!A449="","",Members!A449),"")</f>
        <v/>
      </c>
      <c r="B452" s="17" t="str">
        <f aca="false">IFERROR(IF(Members!A449="","",Members!B449),"")</f>
        <v/>
      </c>
      <c r="C452" s="17" t="str">
        <f aca="false">IFERROR(IF(Members!A449="","",Members!C449),"")</f>
        <v/>
      </c>
      <c r="D452" s="17" t="str">
        <f aca="false">IFERROR(IF(Members!A449="","",Members!D449),"")</f>
        <v/>
      </c>
      <c r="E452" s="17" t="str">
        <f aca="false">IF(A452="","",COUNTIF(Completions!A:A,A452))</f>
        <v/>
      </c>
      <c r="F452" s="17" t="str">
        <f aca="false">IF(A452="","",SUMPRODUCT((Completions!A$2:A$5000=A452)*IFERROR(VLOOKUP(Completions!B$2:B$5000,$J$4:$K$18,2,FALSE()),0)))</f>
        <v/>
      </c>
      <c r="G452" s="17" t="str">
        <f aca="false">IF(A452="","",IF(F452&gt;=20,"Gold",IF(F452&gt;=14,"Silver",IF(F452&gt;=8,"Bronze","—"))))</f>
        <v/>
      </c>
      <c r="H452" s="17" t="str">
        <f aca="false">IF(A452="","",IFERROR(TEXT(maxifs(Completions!G:G,Completions!A:A,A452),"yyyy-mm-dd hh:mm"),"—"))</f>
        <v/>
      </c>
    </row>
    <row r="453" customFormat="false" ht="21.75" hidden="false" customHeight="true" outlineLevel="0" collapsed="false">
      <c r="A453" s="16" t="str">
        <f aca="false">IFERROR(IF(Members!A450="","",Members!A450),"")</f>
        <v/>
      </c>
      <c r="B453" s="16" t="str">
        <f aca="false">IFERROR(IF(Members!A450="","",Members!B450),"")</f>
        <v/>
      </c>
      <c r="C453" s="16" t="str">
        <f aca="false">IFERROR(IF(Members!A450="","",Members!C450),"")</f>
        <v/>
      </c>
      <c r="D453" s="16" t="str">
        <f aca="false">IFERROR(IF(Members!A450="","",Members!D450),"")</f>
        <v/>
      </c>
      <c r="E453" s="16" t="str">
        <f aca="false">IF(A453="","",COUNTIF(Completions!A:A,A453))</f>
        <v/>
      </c>
      <c r="F453" s="16" t="str">
        <f aca="false">IF(A453="","",SUMPRODUCT((Completions!A$2:A$5000=A453)*IFERROR(VLOOKUP(Completions!B$2:B$5000,$J$4:$K$18,2,FALSE()),0)))</f>
        <v/>
      </c>
      <c r="G453" s="16" t="str">
        <f aca="false">IF(A453="","",IF(F453&gt;=20,"Gold",IF(F453&gt;=14,"Silver",IF(F453&gt;=8,"Bronze","—"))))</f>
        <v/>
      </c>
      <c r="H453" s="16" t="str">
        <f aca="false">IF(A453="","",IFERROR(TEXT(maxifs(Completions!G:G,Completions!A:A,A453),"yyyy-mm-dd hh:mm"),"—"))</f>
        <v/>
      </c>
    </row>
    <row r="454" customFormat="false" ht="21.75" hidden="false" customHeight="true" outlineLevel="0" collapsed="false">
      <c r="A454" s="17" t="str">
        <f aca="false">IFERROR(IF(Members!A451="","",Members!A451),"")</f>
        <v/>
      </c>
      <c r="B454" s="17" t="str">
        <f aca="false">IFERROR(IF(Members!A451="","",Members!B451),"")</f>
        <v/>
      </c>
      <c r="C454" s="17" t="str">
        <f aca="false">IFERROR(IF(Members!A451="","",Members!C451),"")</f>
        <v/>
      </c>
      <c r="D454" s="17" t="str">
        <f aca="false">IFERROR(IF(Members!A451="","",Members!D451),"")</f>
        <v/>
      </c>
      <c r="E454" s="17" t="str">
        <f aca="false">IF(A454="","",COUNTIF(Completions!A:A,A454))</f>
        <v/>
      </c>
      <c r="F454" s="17" t="str">
        <f aca="false">IF(A454="","",SUMPRODUCT((Completions!A$2:A$5000=A454)*IFERROR(VLOOKUP(Completions!B$2:B$5000,$J$4:$K$18,2,FALSE()),0)))</f>
        <v/>
      </c>
      <c r="G454" s="17" t="str">
        <f aca="false">IF(A454="","",IF(F454&gt;=20,"Gold",IF(F454&gt;=14,"Silver",IF(F454&gt;=8,"Bronze","—"))))</f>
        <v/>
      </c>
      <c r="H454" s="17" t="str">
        <f aca="false">IF(A454="","",IFERROR(TEXT(maxifs(Completions!G:G,Completions!A:A,A454),"yyyy-mm-dd hh:mm"),"—"))</f>
        <v/>
      </c>
    </row>
    <row r="455" customFormat="false" ht="21.75" hidden="false" customHeight="true" outlineLevel="0" collapsed="false">
      <c r="A455" s="16" t="str">
        <f aca="false">IFERROR(IF(Members!A452="","",Members!A452),"")</f>
        <v/>
      </c>
      <c r="B455" s="16" t="str">
        <f aca="false">IFERROR(IF(Members!A452="","",Members!B452),"")</f>
        <v/>
      </c>
      <c r="C455" s="16" t="str">
        <f aca="false">IFERROR(IF(Members!A452="","",Members!C452),"")</f>
        <v/>
      </c>
      <c r="D455" s="16" t="str">
        <f aca="false">IFERROR(IF(Members!A452="","",Members!D452),"")</f>
        <v/>
      </c>
      <c r="E455" s="16" t="str">
        <f aca="false">IF(A455="","",COUNTIF(Completions!A:A,A455))</f>
        <v/>
      </c>
      <c r="F455" s="16" t="str">
        <f aca="false">IF(A455="","",SUMPRODUCT((Completions!A$2:A$5000=A455)*IFERROR(VLOOKUP(Completions!B$2:B$5000,$J$4:$K$18,2,FALSE()),0)))</f>
        <v/>
      </c>
      <c r="G455" s="16" t="str">
        <f aca="false">IF(A455="","",IF(F455&gt;=20,"Gold",IF(F455&gt;=14,"Silver",IF(F455&gt;=8,"Bronze","—"))))</f>
        <v/>
      </c>
      <c r="H455" s="16" t="str">
        <f aca="false">IF(A455="","",IFERROR(TEXT(maxifs(Completions!G:G,Completions!A:A,A455),"yyyy-mm-dd hh:mm"),"—"))</f>
        <v/>
      </c>
    </row>
    <row r="456" customFormat="false" ht="21.75" hidden="false" customHeight="true" outlineLevel="0" collapsed="false">
      <c r="A456" s="17" t="str">
        <f aca="false">IFERROR(IF(Members!A453="","",Members!A453),"")</f>
        <v/>
      </c>
      <c r="B456" s="17" t="str">
        <f aca="false">IFERROR(IF(Members!A453="","",Members!B453),"")</f>
        <v/>
      </c>
      <c r="C456" s="17" t="str">
        <f aca="false">IFERROR(IF(Members!A453="","",Members!C453),"")</f>
        <v/>
      </c>
      <c r="D456" s="17" t="str">
        <f aca="false">IFERROR(IF(Members!A453="","",Members!D453),"")</f>
        <v/>
      </c>
      <c r="E456" s="17" t="str">
        <f aca="false">IF(A456="","",COUNTIF(Completions!A:A,A456))</f>
        <v/>
      </c>
      <c r="F456" s="17" t="str">
        <f aca="false">IF(A456="","",SUMPRODUCT((Completions!A$2:A$5000=A456)*IFERROR(VLOOKUP(Completions!B$2:B$5000,$J$4:$K$18,2,FALSE()),0)))</f>
        <v/>
      </c>
      <c r="G456" s="17" t="str">
        <f aca="false">IF(A456="","",IF(F456&gt;=20,"Gold",IF(F456&gt;=14,"Silver",IF(F456&gt;=8,"Bronze","—"))))</f>
        <v/>
      </c>
      <c r="H456" s="17" t="str">
        <f aca="false">IF(A456="","",IFERROR(TEXT(maxifs(Completions!G:G,Completions!A:A,A456),"yyyy-mm-dd hh:mm"),"—"))</f>
        <v/>
      </c>
    </row>
    <row r="457" customFormat="false" ht="21.75" hidden="false" customHeight="true" outlineLevel="0" collapsed="false">
      <c r="A457" s="16" t="str">
        <f aca="false">IFERROR(IF(Members!A454="","",Members!A454),"")</f>
        <v/>
      </c>
      <c r="B457" s="16" t="str">
        <f aca="false">IFERROR(IF(Members!A454="","",Members!B454),"")</f>
        <v/>
      </c>
      <c r="C457" s="16" t="str">
        <f aca="false">IFERROR(IF(Members!A454="","",Members!C454),"")</f>
        <v/>
      </c>
      <c r="D457" s="16" t="str">
        <f aca="false">IFERROR(IF(Members!A454="","",Members!D454),"")</f>
        <v/>
      </c>
      <c r="E457" s="16" t="str">
        <f aca="false">IF(A457="","",COUNTIF(Completions!A:A,A457))</f>
        <v/>
      </c>
      <c r="F457" s="16" t="str">
        <f aca="false">IF(A457="","",SUMPRODUCT((Completions!A$2:A$5000=A457)*IFERROR(VLOOKUP(Completions!B$2:B$5000,$J$4:$K$18,2,FALSE()),0)))</f>
        <v/>
      </c>
      <c r="G457" s="16" t="str">
        <f aca="false">IF(A457="","",IF(F457&gt;=20,"Gold",IF(F457&gt;=14,"Silver",IF(F457&gt;=8,"Bronze","—"))))</f>
        <v/>
      </c>
      <c r="H457" s="16" t="str">
        <f aca="false">IF(A457="","",IFERROR(TEXT(maxifs(Completions!G:G,Completions!A:A,A457),"yyyy-mm-dd hh:mm"),"—"))</f>
        <v/>
      </c>
    </row>
    <row r="458" customFormat="false" ht="21.75" hidden="false" customHeight="true" outlineLevel="0" collapsed="false">
      <c r="A458" s="17" t="str">
        <f aca="false">IFERROR(IF(Members!A455="","",Members!A455),"")</f>
        <v/>
      </c>
      <c r="B458" s="17" t="str">
        <f aca="false">IFERROR(IF(Members!A455="","",Members!B455),"")</f>
        <v/>
      </c>
      <c r="C458" s="17" t="str">
        <f aca="false">IFERROR(IF(Members!A455="","",Members!C455),"")</f>
        <v/>
      </c>
      <c r="D458" s="17" t="str">
        <f aca="false">IFERROR(IF(Members!A455="","",Members!D455),"")</f>
        <v/>
      </c>
      <c r="E458" s="17" t="str">
        <f aca="false">IF(A458="","",COUNTIF(Completions!A:A,A458))</f>
        <v/>
      </c>
      <c r="F458" s="17" t="str">
        <f aca="false">IF(A458="","",SUMPRODUCT((Completions!A$2:A$5000=A458)*IFERROR(VLOOKUP(Completions!B$2:B$5000,$J$4:$K$18,2,FALSE()),0)))</f>
        <v/>
      </c>
      <c r="G458" s="17" t="str">
        <f aca="false">IF(A458="","",IF(F458&gt;=20,"Gold",IF(F458&gt;=14,"Silver",IF(F458&gt;=8,"Bronze","—"))))</f>
        <v/>
      </c>
      <c r="H458" s="17" t="str">
        <f aca="false">IF(A458="","",IFERROR(TEXT(maxifs(Completions!G:G,Completions!A:A,A458),"yyyy-mm-dd hh:mm"),"—"))</f>
        <v/>
      </c>
    </row>
    <row r="459" customFormat="false" ht="21.75" hidden="false" customHeight="true" outlineLevel="0" collapsed="false">
      <c r="A459" s="16" t="str">
        <f aca="false">IFERROR(IF(Members!A456="","",Members!A456),"")</f>
        <v/>
      </c>
      <c r="B459" s="16" t="str">
        <f aca="false">IFERROR(IF(Members!A456="","",Members!B456),"")</f>
        <v/>
      </c>
      <c r="C459" s="16" t="str">
        <f aca="false">IFERROR(IF(Members!A456="","",Members!C456),"")</f>
        <v/>
      </c>
      <c r="D459" s="16" t="str">
        <f aca="false">IFERROR(IF(Members!A456="","",Members!D456),"")</f>
        <v/>
      </c>
      <c r="E459" s="16" t="str">
        <f aca="false">IF(A459="","",COUNTIF(Completions!A:A,A459))</f>
        <v/>
      </c>
      <c r="F459" s="16" t="str">
        <f aca="false">IF(A459="","",SUMPRODUCT((Completions!A$2:A$5000=A459)*IFERROR(VLOOKUP(Completions!B$2:B$5000,$J$4:$K$18,2,FALSE()),0)))</f>
        <v/>
      </c>
      <c r="G459" s="16" t="str">
        <f aca="false">IF(A459="","",IF(F459&gt;=20,"Gold",IF(F459&gt;=14,"Silver",IF(F459&gt;=8,"Bronze","—"))))</f>
        <v/>
      </c>
      <c r="H459" s="16" t="str">
        <f aca="false">IF(A459="","",IFERROR(TEXT(maxifs(Completions!G:G,Completions!A:A,A459),"yyyy-mm-dd hh:mm"),"—"))</f>
        <v/>
      </c>
    </row>
    <row r="460" customFormat="false" ht="21.75" hidden="false" customHeight="true" outlineLevel="0" collapsed="false">
      <c r="A460" s="17" t="str">
        <f aca="false">IFERROR(IF(Members!A457="","",Members!A457),"")</f>
        <v/>
      </c>
      <c r="B460" s="17" t="str">
        <f aca="false">IFERROR(IF(Members!A457="","",Members!B457),"")</f>
        <v/>
      </c>
      <c r="C460" s="17" t="str">
        <f aca="false">IFERROR(IF(Members!A457="","",Members!C457),"")</f>
        <v/>
      </c>
      <c r="D460" s="17" t="str">
        <f aca="false">IFERROR(IF(Members!A457="","",Members!D457),"")</f>
        <v/>
      </c>
      <c r="E460" s="17" t="str">
        <f aca="false">IF(A460="","",COUNTIF(Completions!A:A,A460))</f>
        <v/>
      </c>
      <c r="F460" s="17" t="str">
        <f aca="false">IF(A460="","",SUMPRODUCT((Completions!A$2:A$5000=A460)*IFERROR(VLOOKUP(Completions!B$2:B$5000,$J$4:$K$18,2,FALSE()),0)))</f>
        <v/>
      </c>
      <c r="G460" s="17" t="str">
        <f aca="false">IF(A460="","",IF(F460&gt;=20,"Gold",IF(F460&gt;=14,"Silver",IF(F460&gt;=8,"Bronze","—"))))</f>
        <v/>
      </c>
      <c r="H460" s="17" t="str">
        <f aca="false">IF(A460="","",IFERROR(TEXT(maxifs(Completions!G:G,Completions!A:A,A460),"yyyy-mm-dd hh:mm"),"—"))</f>
        <v/>
      </c>
    </row>
    <row r="461" customFormat="false" ht="21.75" hidden="false" customHeight="true" outlineLevel="0" collapsed="false">
      <c r="A461" s="16" t="str">
        <f aca="false">IFERROR(IF(Members!A458="","",Members!A458),"")</f>
        <v/>
      </c>
      <c r="B461" s="16" t="str">
        <f aca="false">IFERROR(IF(Members!A458="","",Members!B458),"")</f>
        <v/>
      </c>
      <c r="C461" s="16" t="str">
        <f aca="false">IFERROR(IF(Members!A458="","",Members!C458),"")</f>
        <v/>
      </c>
      <c r="D461" s="16" t="str">
        <f aca="false">IFERROR(IF(Members!A458="","",Members!D458),"")</f>
        <v/>
      </c>
      <c r="E461" s="16" t="str">
        <f aca="false">IF(A461="","",COUNTIF(Completions!A:A,A461))</f>
        <v/>
      </c>
      <c r="F461" s="16" t="str">
        <f aca="false">IF(A461="","",SUMPRODUCT((Completions!A$2:A$5000=A461)*IFERROR(VLOOKUP(Completions!B$2:B$5000,$J$4:$K$18,2,FALSE()),0)))</f>
        <v/>
      </c>
      <c r="G461" s="16" t="str">
        <f aca="false">IF(A461="","",IF(F461&gt;=20,"Gold",IF(F461&gt;=14,"Silver",IF(F461&gt;=8,"Bronze","—"))))</f>
        <v/>
      </c>
      <c r="H461" s="16" t="str">
        <f aca="false">IF(A461="","",IFERROR(TEXT(maxifs(Completions!G:G,Completions!A:A,A461),"yyyy-mm-dd hh:mm"),"—"))</f>
        <v/>
      </c>
    </row>
    <row r="462" customFormat="false" ht="21.75" hidden="false" customHeight="true" outlineLevel="0" collapsed="false">
      <c r="A462" s="17" t="str">
        <f aca="false">IFERROR(IF(Members!A459="","",Members!A459),"")</f>
        <v/>
      </c>
      <c r="B462" s="17" t="str">
        <f aca="false">IFERROR(IF(Members!A459="","",Members!B459),"")</f>
        <v/>
      </c>
      <c r="C462" s="17" t="str">
        <f aca="false">IFERROR(IF(Members!A459="","",Members!C459),"")</f>
        <v/>
      </c>
      <c r="D462" s="17" t="str">
        <f aca="false">IFERROR(IF(Members!A459="","",Members!D459),"")</f>
        <v/>
      </c>
      <c r="E462" s="17" t="str">
        <f aca="false">IF(A462="","",COUNTIF(Completions!A:A,A462))</f>
        <v/>
      </c>
      <c r="F462" s="17" t="str">
        <f aca="false">IF(A462="","",SUMPRODUCT((Completions!A$2:A$5000=A462)*IFERROR(VLOOKUP(Completions!B$2:B$5000,$J$4:$K$18,2,FALSE()),0)))</f>
        <v/>
      </c>
      <c r="G462" s="17" t="str">
        <f aca="false">IF(A462="","",IF(F462&gt;=20,"Gold",IF(F462&gt;=14,"Silver",IF(F462&gt;=8,"Bronze","—"))))</f>
        <v/>
      </c>
      <c r="H462" s="17" t="str">
        <f aca="false">IF(A462="","",IFERROR(TEXT(maxifs(Completions!G:G,Completions!A:A,A462),"yyyy-mm-dd hh:mm"),"—"))</f>
        <v/>
      </c>
    </row>
    <row r="463" customFormat="false" ht="21.75" hidden="false" customHeight="true" outlineLevel="0" collapsed="false">
      <c r="A463" s="16" t="str">
        <f aca="false">IFERROR(IF(Members!A460="","",Members!A460),"")</f>
        <v/>
      </c>
      <c r="B463" s="16" t="str">
        <f aca="false">IFERROR(IF(Members!A460="","",Members!B460),"")</f>
        <v/>
      </c>
      <c r="C463" s="16" t="str">
        <f aca="false">IFERROR(IF(Members!A460="","",Members!C460),"")</f>
        <v/>
      </c>
      <c r="D463" s="16" t="str">
        <f aca="false">IFERROR(IF(Members!A460="","",Members!D460),"")</f>
        <v/>
      </c>
      <c r="E463" s="16" t="str">
        <f aca="false">IF(A463="","",COUNTIF(Completions!A:A,A463))</f>
        <v/>
      </c>
      <c r="F463" s="16" t="str">
        <f aca="false">IF(A463="","",SUMPRODUCT((Completions!A$2:A$5000=A463)*IFERROR(VLOOKUP(Completions!B$2:B$5000,$J$4:$K$18,2,FALSE()),0)))</f>
        <v/>
      </c>
      <c r="G463" s="16" t="str">
        <f aca="false">IF(A463="","",IF(F463&gt;=20,"Gold",IF(F463&gt;=14,"Silver",IF(F463&gt;=8,"Bronze","—"))))</f>
        <v/>
      </c>
      <c r="H463" s="16" t="str">
        <f aca="false">IF(A463="","",IFERROR(TEXT(maxifs(Completions!G:G,Completions!A:A,A463),"yyyy-mm-dd hh:mm"),"—"))</f>
        <v/>
      </c>
    </row>
    <row r="464" customFormat="false" ht="21.75" hidden="false" customHeight="true" outlineLevel="0" collapsed="false">
      <c r="A464" s="17" t="str">
        <f aca="false">IFERROR(IF(Members!A461="","",Members!A461),"")</f>
        <v/>
      </c>
      <c r="B464" s="17" t="str">
        <f aca="false">IFERROR(IF(Members!A461="","",Members!B461),"")</f>
        <v/>
      </c>
      <c r="C464" s="17" t="str">
        <f aca="false">IFERROR(IF(Members!A461="","",Members!C461),"")</f>
        <v/>
      </c>
      <c r="D464" s="17" t="str">
        <f aca="false">IFERROR(IF(Members!A461="","",Members!D461),"")</f>
        <v/>
      </c>
      <c r="E464" s="17" t="str">
        <f aca="false">IF(A464="","",COUNTIF(Completions!A:A,A464))</f>
        <v/>
      </c>
      <c r="F464" s="17" t="str">
        <f aca="false">IF(A464="","",SUMPRODUCT((Completions!A$2:A$5000=A464)*IFERROR(VLOOKUP(Completions!B$2:B$5000,$J$4:$K$18,2,FALSE()),0)))</f>
        <v/>
      </c>
      <c r="G464" s="17" t="str">
        <f aca="false">IF(A464="","",IF(F464&gt;=20,"Gold",IF(F464&gt;=14,"Silver",IF(F464&gt;=8,"Bronze","—"))))</f>
        <v/>
      </c>
      <c r="H464" s="17" t="str">
        <f aca="false">IF(A464="","",IFERROR(TEXT(maxifs(Completions!G:G,Completions!A:A,A464),"yyyy-mm-dd hh:mm"),"—"))</f>
        <v/>
      </c>
    </row>
    <row r="465" customFormat="false" ht="21.75" hidden="false" customHeight="true" outlineLevel="0" collapsed="false">
      <c r="A465" s="16" t="str">
        <f aca="false">IFERROR(IF(Members!A462="","",Members!A462),"")</f>
        <v/>
      </c>
      <c r="B465" s="16" t="str">
        <f aca="false">IFERROR(IF(Members!A462="","",Members!B462),"")</f>
        <v/>
      </c>
      <c r="C465" s="16" t="str">
        <f aca="false">IFERROR(IF(Members!A462="","",Members!C462),"")</f>
        <v/>
      </c>
      <c r="D465" s="16" t="str">
        <f aca="false">IFERROR(IF(Members!A462="","",Members!D462),"")</f>
        <v/>
      </c>
      <c r="E465" s="16" t="str">
        <f aca="false">IF(A465="","",COUNTIF(Completions!A:A,A465))</f>
        <v/>
      </c>
      <c r="F465" s="16" t="str">
        <f aca="false">IF(A465="","",SUMPRODUCT((Completions!A$2:A$5000=A465)*IFERROR(VLOOKUP(Completions!B$2:B$5000,$J$4:$K$18,2,FALSE()),0)))</f>
        <v/>
      </c>
      <c r="G465" s="16" t="str">
        <f aca="false">IF(A465="","",IF(F465&gt;=20,"Gold",IF(F465&gt;=14,"Silver",IF(F465&gt;=8,"Bronze","—"))))</f>
        <v/>
      </c>
      <c r="H465" s="16" t="str">
        <f aca="false">IF(A465="","",IFERROR(TEXT(maxifs(Completions!G:G,Completions!A:A,A465),"yyyy-mm-dd hh:mm"),"—"))</f>
        <v/>
      </c>
    </row>
    <row r="466" customFormat="false" ht="21.75" hidden="false" customHeight="true" outlineLevel="0" collapsed="false">
      <c r="A466" s="17" t="str">
        <f aca="false">IFERROR(IF(Members!A463="","",Members!A463),"")</f>
        <v/>
      </c>
      <c r="B466" s="17" t="str">
        <f aca="false">IFERROR(IF(Members!A463="","",Members!B463),"")</f>
        <v/>
      </c>
      <c r="C466" s="17" t="str">
        <f aca="false">IFERROR(IF(Members!A463="","",Members!C463),"")</f>
        <v/>
      </c>
      <c r="D466" s="17" t="str">
        <f aca="false">IFERROR(IF(Members!A463="","",Members!D463),"")</f>
        <v/>
      </c>
      <c r="E466" s="17" t="str">
        <f aca="false">IF(A466="","",COUNTIF(Completions!A:A,A466))</f>
        <v/>
      </c>
      <c r="F466" s="17" t="str">
        <f aca="false">IF(A466="","",SUMPRODUCT((Completions!A$2:A$5000=A466)*IFERROR(VLOOKUP(Completions!B$2:B$5000,$J$4:$K$18,2,FALSE()),0)))</f>
        <v/>
      </c>
      <c r="G466" s="17" t="str">
        <f aca="false">IF(A466="","",IF(F466&gt;=20,"Gold",IF(F466&gt;=14,"Silver",IF(F466&gt;=8,"Bronze","—"))))</f>
        <v/>
      </c>
      <c r="H466" s="17" t="str">
        <f aca="false">IF(A466="","",IFERROR(TEXT(maxifs(Completions!G:G,Completions!A:A,A466),"yyyy-mm-dd hh:mm"),"—"))</f>
        <v/>
      </c>
    </row>
    <row r="467" customFormat="false" ht="21.75" hidden="false" customHeight="true" outlineLevel="0" collapsed="false">
      <c r="A467" s="16" t="str">
        <f aca="false">IFERROR(IF(Members!A464="","",Members!A464),"")</f>
        <v/>
      </c>
      <c r="B467" s="16" t="str">
        <f aca="false">IFERROR(IF(Members!A464="","",Members!B464),"")</f>
        <v/>
      </c>
      <c r="C467" s="16" t="str">
        <f aca="false">IFERROR(IF(Members!A464="","",Members!C464),"")</f>
        <v/>
      </c>
      <c r="D467" s="16" t="str">
        <f aca="false">IFERROR(IF(Members!A464="","",Members!D464),"")</f>
        <v/>
      </c>
      <c r="E467" s="16" t="str">
        <f aca="false">IF(A467="","",COUNTIF(Completions!A:A,A467))</f>
        <v/>
      </c>
      <c r="F467" s="16" t="str">
        <f aca="false">IF(A467="","",SUMPRODUCT((Completions!A$2:A$5000=A467)*IFERROR(VLOOKUP(Completions!B$2:B$5000,$J$4:$K$18,2,FALSE()),0)))</f>
        <v/>
      </c>
      <c r="G467" s="16" t="str">
        <f aca="false">IF(A467="","",IF(F467&gt;=20,"Gold",IF(F467&gt;=14,"Silver",IF(F467&gt;=8,"Bronze","—"))))</f>
        <v/>
      </c>
      <c r="H467" s="16" t="str">
        <f aca="false">IF(A467="","",IFERROR(TEXT(maxifs(Completions!G:G,Completions!A:A,A467),"yyyy-mm-dd hh:mm"),"—"))</f>
        <v/>
      </c>
    </row>
    <row r="468" customFormat="false" ht="21.75" hidden="false" customHeight="true" outlineLevel="0" collapsed="false">
      <c r="A468" s="17" t="str">
        <f aca="false">IFERROR(IF(Members!A465="","",Members!A465),"")</f>
        <v/>
      </c>
      <c r="B468" s="17" t="str">
        <f aca="false">IFERROR(IF(Members!A465="","",Members!B465),"")</f>
        <v/>
      </c>
      <c r="C468" s="17" t="str">
        <f aca="false">IFERROR(IF(Members!A465="","",Members!C465),"")</f>
        <v/>
      </c>
      <c r="D468" s="17" t="str">
        <f aca="false">IFERROR(IF(Members!A465="","",Members!D465),"")</f>
        <v/>
      </c>
      <c r="E468" s="17" t="str">
        <f aca="false">IF(A468="","",COUNTIF(Completions!A:A,A468))</f>
        <v/>
      </c>
      <c r="F468" s="17" t="str">
        <f aca="false">IF(A468="","",SUMPRODUCT((Completions!A$2:A$5000=A468)*IFERROR(VLOOKUP(Completions!B$2:B$5000,$J$4:$K$18,2,FALSE()),0)))</f>
        <v/>
      </c>
      <c r="G468" s="17" t="str">
        <f aca="false">IF(A468="","",IF(F468&gt;=20,"Gold",IF(F468&gt;=14,"Silver",IF(F468&gt;=8,"Bronze","—"))))</f>
        <v/>
      </c>
      <c r="H468" s="17" t="str">
        <f aca="false">IF(A468="","",IFERROR(TEXT(maxifs(Completions!G:G,Completions!A:A,A468),"yyyy-mm-dd hh:mm"),"—"))</f>
        <v/>
      </c>
    </row>
    <row r="469" customFormat="false" ht="21.75" hidden="false" customHeight="true" outlineLevel="0" collapsed="false">
      <c r="A469" s="16" t="str">
        <f aca="false">IFERROR(IF(Members!A466="","",Members!A466),"")</f>
        <v/>
      </c>
      <c r="B469" s="16" t="str">
        <f aca="false">IFERROR(IF(Members!A466="","",Members!B466),"")</f>
        <v/>
      </c>
      <c r="C469" s="16" t="str">
        <f aca="false">IFERROR(IF(Members!A466="","",Members!C466),"")</f>
        <v/>
      </c>
      <c r="D469" s="16" t="str">
        <f aca="false">IFERROR(IF(Members!A466="","",Members!D466),"")</f>
        <v/>
      </c>
      <c r="E469" s="16" t="str">
        <f aca="false">IF(A469="","",COUNTIF(Completions!A:A,A469))</f>
        <v/>
      </c>
      <c r="F469" s="16" t="str">
        <f aca="false">IF(A469="","",SUMPRODUCT((Completions!A$2:A$5000=A469)*IFERROR(VLOOKUP(Completions!B$2:B$5000,$J$4:$K$18,2,FALSE()),0)))</f>
        <v/>
      </c>
      <c r="G469" s="16" t="str">
        <f aca="false">IF(A469="","",IF(F469&gt;=20,"Gold",IF(F469&gt;=14,"Silver",IF(F469&gt;=8,"Bronze","—"))))</f>
        <v/>
      </c>
      <c r="H469" s="16" t="str">
        <f aca="false">IF(A469="","",IFERROR(TEXT(maxifs(Completions!G:G,Completions!A:A,A469),"yyyy-mm-dd hh:mm"),"—"))</f>
        <v/>
      </c>
    </row>
    <row r="470" customFormat="false" ht="21.75" hidden="false" customHeight="true" outlineLevel="0" collapsed="false">
      <c r="A470" s="17" t="str">
        <f aca="false">IFERROR(IF(Members!A467="","",Members!A467),"")</f>
        <v/>
      </c>
      <c r="B470" s="17" t="str">
        <f aca="false">IFERROR(IF(Members!A467="","",Members!B467),"")</f>
        <v/>
      </c>
      <c r="C470" s="17" t="str">
        <f aca="false">IFERROR(IF(Members!A467="","",Members!C467),"")</f>
        <v/>
      </c>
      <c r="D470" s="17" t="str">
        <f aca="false">IFERROR(IF(Members!A467="","",Members!D467),"")</f>
        <v/>
      </c>
      <c r="E470" s="17" t="str">
        <f aca="false">IF(A470="","",COUNTIF(Completions!A:A,A470))</f>
        <v/>
      </c>
      <c r="F470" s="17" t="str">
        <f aca="false">IF(A470="","",SUMPRODUCT((Completions!A$2:A$5000=A470)*IFERROR(VLOOKUP(Completions!B$2:B$5000,$J$4:$K$18,2,FALSE()),0)))</f>
        <v/>
      </c>
      <c r="G470" s="17" t="str">
        <f aca="false">IF(A470="","",IF(F470&gt;=20,"Gold",IF(F470&gt;=14,"Silver",IF(F470&gt;=8,"Bronze","—"))))</f>
        <v/>
      </c>
      <c r="H470" s="17" t="str">
        <f aca="false">IF(A470="","",IFERROR(TEXT(maxifs(Completions!G:G,Completions!A:A,A470),"yyyy-mm-dd hh:mm"),"—"))</f>
        <v/>
      </c>
    </row>
    <row r="471" customFormat="false" ht="21.75" hidden="false" customHeight="true" outlineLevel="0" collapsed="false">
      <c r="A471" s="16" t="str">
        <f aca="false">IFERROR(IF(Members!A468="","",Members!A468),"")</f>
        <v/>
      </c>
      <c r="B471" s="16" t="str">
        <f aca="false">IFERROR(IF(Members!A468="","",Members!B468),"")</f>
        <v/>
      </c>
      <c r="C471" s="16" t="str">
        <f aca="false">IFERROR(IF(Members!A468="","",Members!C468),"")</f>
        <v/>
      </c>
      <c r="D471" s="16" t="str">
        <f aca="false">IFERROR(IF(Members!A468="","",Members!D468),"")</f>
        <v/>
      </c>
      <c r="E471" s="16" t="str">
        <f aca="false">IF(A471="","",COUNTIF(Completions!A:A,A471))</f>
        <v/>
      </c>
      <c r="F471" s="16" t="str">
        <f aca="false">IF(A471="","",SUMPRODUCT((Completions!A$2:A$5000=A471)*IFERROR(VLOOKUP(Completions!B$2:B$5000,$J$4:$K$18,2,FALSE()),0)))</f>
        <v/>
      </c>
      <c r="G471" s="16" t="str">
        <f aca="false">IF(A471="","",IF(F471&gt;=20,"Gold",IF(F471&gt;=14,"Silver",IF(F471&gt;=8,"Bronze","—"))))</f>
        <v/>
      </c>
      <c r="H471" s="16" t="str">
        <f aca="false">IF(A471="","",IFERROR(TEXT(maxifs(Completions!G:G,Completions!A:A,A471),"yyyy-mm-dd hh:mm"),"—"))</f>
        <v/>
      </c>
    </row>
    <row r="472" customFormat="false" ht="21.75" hidden="false" customHeight="true" outlineLevel="0" collapsed="false">
      <c r="A472" s="17" t="str">
        <f aca="false">IFERROR(IF(Members!A469="","",Members!A469),"")</f>
        <v/>
      </c>
      <c r="B472" s="17" t="str">
        <f aca="false">IFERROR(IF(Members!A469="","",Members!B469),"")</f>
        <v/>
      </c>
      <c r="C472" s="17" t="str">
        <f aca="false">IFERROR(IF(Members!A469="","",Members!C469),"")</f>
        <v/>
      </c>
      <c r="D472" s="17" t="str">
        <f aca="false">IFERROR(IF(Members!A469="","",Members!D469),"")</f>
        <v/>
      </c>
      <c r="E472" s="17" t="str">
        <f aca="false">IF(A472="","",COUNTIF(Completions!A:A,A472))</f>
        <v/>
      </c>
      <c r="F472" s="17" t="str">
        <f aca="false">IF(A472="","",SUMPRODUCT((Completions!A$2:A$5000=A472)*IFERROR(VLOOKUP(Completions!B$2:B$5000,$J$4:$K$18,2,FALSE()),0)))</f>
        <v/>
      </c>
      <c r="G472" s="17" t="str">
        <f aca="false">IF(A472="","",IF(F472&gt;=20,"Gold",IF(F472&gt;=14,"Silver",IF(F472&gt;=8,"Bronze","—"))))</f>
        <v/>
      </c>
      <c r="H472" s="17" t="str">
        <f aca="false">IF(A472="","",IFERROR(TEXT(maxifs(Completions!G:G,Completions!A:A,A472),"yyyy-mm-dd hh:mm"),"—"))</f>
        <v/>
      </c>
    </row>
    <row r="473" customFormat="false" ht="21.75" hidden="false" customHeight="true" outlineLevel="0" collapsed="false">
      <c r="A473" s="16" t="str">
        <f aca="false">IFERROR(IF(Members!A470="","",Members!A470),"")</f>
        <v/>
      </c>
      <c r="B473" s="16" t="str">
        <f aca="false">IFERROR(IF(Members!A470="","",Members!B470),"")</f>
        <v/>
      </c>
      <c r="C473" s="16" t="str">
        <f aca="false">IFERROR(IF(Members!A470="","",Members!C470),"")</f>
        <v/>
      </c>
      <c r="D473" s="16" t="str">
        <f aca="false">IFERROR(IF(Members!A470="","",Members!D470),"")</f>
        <v/>
      </c>
      <c r="E473" s="16" t="str">
        <f aca="false">IF(A473="","",COUNTIF(Completions!A:A,A473))</f>
        <v/>
      </c>
      <c r="F473" s="16" t="str">
        <f aca="false">IF(A473="","",SUMPRODUCT((Completions!A$2:A$5000=A473)*IFERROR(VLOOKUP(Completions!B$2:B$5000,$J$4:$K$18,2,FALSE()),0)))</f>
        <v/>
      </c>
      <c r="G473" s="16" t="str">
        <f aca="false">IF(A473="","",IF(F473&gt;=20,"Gold",IF(F473&gt;=14,"Silver",IF(F473&gt;=8,"Bronze","—"))))</f>
        <v/>
      </c>
      <c r="H473" s="16" t="str">
        <f aca="false">IF(A473="","",IFERROR(TEXT(maxifs(Completions!G:G,Completions!A:A,A473),"yyyy-mm-dd hh:mm"),"—"))</f>
        <v/>
      </c>
    </row>
    <row r="474" customFormat="false" ht="21.75" hidden="false" customHeight="true" outlineLevel="0" collapsed="false">
      <c r="A474" s="17" t="str">
        <f aca="false">IFERROR(IF(Members!A471="","",Members!A471),"")</f>
        <v/>
      </c>
      <c r="B474" s="17" t="str">
        <f aca="false">IFERROR(IF(Members!A471="","",Members!B471),"")</f>
        <v/>
      </c>
      <c r="C474" s="17" t="str">
        <f aca="false">IFERROR(IF(Members!A471="","",Members!C471),"")</f>
        <v/>
      </c>
      <c r="D474" s="17" t="str">
        <f aca="false">IFERROR(IF(Members!A471="","",Members!D471),"")</f>
        <v/>
      </c>
      <c r="E474" s="17" t="str">
        <f aca="false">IF(A474="","",COUNTIF(Completions!A:A,A474))</f>
        <v/>
      </c>
      <c r="F474" s="17" t="str">
        <f aca="false">IF(A474="","",SUMPRODUCT((Completions!A$2:A$5000=A474)*IFERROR(VLOOKUP(Completions!B$2:B$5000,$J$4:$K$18,2,FALSE()),0)))</f>
        <v/>
      </c>
      <c r="G474" s="17" t="str">
        <f aca="false">IF(A474="","",IF(F474&gt;=20,"Gold",IF(F474&gt;=14,"Silver",IF(F474&gt;=8,"Bronze","—"))))</f>
        <v/>
      </c>
      <c r="H474" s="17" t="str">
        <f aca="false">IF(A474="","",IFERROR(TEXT(maxifs(Completions!G:G,Completions!A:A,A474),"yyyy-mm-dd hh:mm"),"—"))</f>
        <v/>
      </c>
    </row>
    <row r="475" customFormat="false" ht="21.75" hidden="false" customHeight="true" outlineLevel="0" collapsed="false">
      <c r="A475" s="16" t="str">
        <f aca="false">IFERROR(IF(Members!A472="","",Members!A472),"")</f>
        <v/>
      </c>
      <c r="B475" s="16" t="str">
        <f aca="false">IFERROR(IF(Members!A472="","",Members!B472),"")</f>
        <v/>
      </c>
      <c r="C475" s="16" t="str">
        <f aca="false">IFERROR(IF(Members!A472="","",Members!C472),"")</f>
        <v/>
      </c>
      <c r="D475" s="16" t="str">
        <f aca="false">IFERROR(IF(Members!A472="","",Members!D472),"")</f>
        <v/>
      </c>
      <c r="E475" s="16" t="str">
        <f aca="false">IF(A475="","",COUNTIF(Completions!A:A,A475))</f>
        <v/>
      </c>
      <c r="F475" s="16" t="str">
        <f aca="false">IF(A475="","",SUMPRODUCT((Completions!A$2:A$5000=A475)*IFERROR(VLOOKUP(Completions!B$2:B$5000,$J$4:$K$18,2,FALSE()),0)))</f>
        <v/>
      </c>
      <c r="G475" s="16" t="str">
        <f aca="false">IF(A475="","",IF(F475&gt;=20,"Gold",IF(F475&gt;=14,"Silver",IF(F475&gt;=8,"Bronze","—"))))</f>
        <v/>
      </c>
      <c r="H475" s="16" t="str">
        <f aca="false">IF(A475="","",IFERROR(TEXT(maxifs(Completions!G:G,Completions!A:A,A475),"yyyy-mm-dd hh:mm"),"—"))</f>
        <v/>
      </c>
    </row>
    <row r="476" customFormat="false" ht="21.75" hidden="false" customHeight="true" outlineLevel="0" collapsed="false">
      <c r="A476" s="17" t="str">
        <f aca="false">IFERROR(IF(Members!A473="","",Members!A473),"")</f>
        <v/>
      </c>
      <c r="B476" s="17" t="str">
        <f aca="false">IFERROR(IF(Members!A473="","",Members!B473),"")</f>
        <v/>
      </c>
      <c r="C476" s="17" t="str">
        <f aca="false">IFERROR(IF(Members!A473="","",Members!C473),"")</f>
        <v/>
      </c>
      <c r="D476" s="17" t="str">
        <f aca="false">IFERROR(IF(Members!A473="","",Members!D473),"")</f>
        <v/>
      </c>
      <c r="E476" s="17" t="str">
        <f aca="false">IF(A476="","",COUNTIF(Completions!A:A,A476))</f>
        <v/>
      </c>
      <c r="F476" s="17" t="str">
        <f aca="false">IF(A476="","",SUMPRODUCT((Completions!A$2:A$5000=A476)*IFERROR(VLOOKUP(Completions!B$2:B$5000,$J$4:$K$18,2,FALSE()),0)))</f>
        <v/>
      </c>
      <c r="G476" s="17" t="str">
        <f aca="false">IF(A476="","",IF(F476&gt;=20,"Gold",IF(F476&gt;=14,"Silver",IF(F476&gt;=8,"Bronze","—"))))</f>
        <v/>
      </c>
      <c r="H476" s="17" t="str">
        <f aca="false">IF(A476="","",IFERROR(TEXT(maxifs(Completions!G:G,Completions!A:A,A476),"yyyy-mm-dd hh:mm"),"—"))</f>
        <v/>
      </c>
    </row>
    <row r="477" customFormat="false" ht="21.75" hidden="false" customHeight="true" outlineLevel="0" collapsed="false">
      <c r="A477" s="16" t="str">
        <f aca="false">IFERROR(IF(Members!A474="","",Members!A474),"")</f>
        <v/>
      </c>
      <c r="B477" s="16" t="str">
        <f aca="false">IFERROR(IF(Members!A474="","",Members!B474),"")</f>
        <v/>
      </c>
      <c r="C477" s="16" t="str">
        <f aca="false">IFERROR(IF(Members!A474="","",Members!C474),"")</f>
        <v/>
      </c>
      <c r="D477" s="16" t="str">
        <f aca="false">IFERROR(IF(Members!A474="","",Members!D474),"")</f>
        <v/>
      </c>
      <c r="E477" s="16" t="str">
        <f aca="false">IF(A477="","",COUNTIF(Completions!A:A,A477))</f>
        <v/>
      </c>
      <c r="F477" s="16" t="str">
        <f aca="false">IF(A477="","",SUMPRODUCT((Completions!A$2:A$5000=A477)*IFERROR(VLOOKUP(Completions!B$2:B$5000,$J$4:$K$18,2,FALSE()),0)))</f>
        <v/>
      </c>
      <c r="G477" s="16" t="str">
        <f aca="false">IF(A477="","",IF(F477&gt;=20,"Gold",IF(F477&gt;=14,"Silver",IF(F477&gt;=8,"Bronze","—"))))</f>
        <v/>
      </c>
      <c r="H477" s="16" t="str">
        <f aca="false">IF(A477="","",IFERROR(TEXT(maxifs(Completions!G:G,Completions!A:A,A477),"yyyy-mm-dd hh:mm"),"—"))</f>
        <v/>
      </c>
    </row>
    <row r="478" customFormat="false" ht="21.75" hidden="false" customHeight="true" outlineLevel="0" collapsed="false">
      <c r="A478" s="17" t="str">
        <f aca="false">IFERROR(IF(Members!A475="","",Members!A475),"")</f>
        <v/>
      </c>
      <c r="B478" s="17" t="str">
        <f aca="false">IFERROR(IF(Members!A475="","",Members!B475),"")</f>
        <v/>
      </c>
      <c r="C478" s="17" t="str">
        <f aca="false">IFERROR(IF(Members!A475="","",Members!C475),"")</f>
        <v/>
      </c>
      <c r="D478" s="17" t="str">
        <f aca="false">IFERROR(IF(Members!A475="","",Members!D475),"")</f>
        <v/>
      </c>
      <c r="E478" s="17" t="str">
        <f aca="false">IF(A478="","",COUNTIF(Completions!A:A,A478))</f>
        <v/>
      </c>
      <c r="F478" s="17" t="str">
        <f aca="false">IF(A478="","",SUMPRODUCT((Completions!A$2:A$5000=A478)*IFERROR(VLOOKUP(Completions!B$2:B$5000,$J$4:$K$18,2,FALSE()),0)))</f>
        <v/>
      </c>
      <c r="G478" s="17" t="str">
        <f aca="false">IF(A478="","",IF(F478&gt;=20,"Gold",IF(F478&gt;=14,"Silver",IF(F478&gt;=8,"Bronze","—"))))</f>
        <v/>
      </c>
      <c r="H478" s="17" t="str">
        <f aca="false">IF(A478="","",IFERROR(TEXT(maxifs(Completions!G:G,Completions!A:A,A478),"yyyy-mm-dd hh:mm"),"—"))</f>
        <v/>
      </c>
    </row>
    <row r="479" customFormat="false" ht="21.75" hidden="false" customHeight="true" outlineLevel="0" collapsed="false">
      <c r="A479" s="16" t="str">
        <f aca="false">IFERROR(IF(Members!A476="","",Members!A476),"")</f>
        <v/>
      </c>
      <c r="B479" s="16" t="str">
        <f aca="false">IFERROR(IF(Members!A476="","",Members!B476),"")</f>
        <v/>
      </c>
      <c r="C479" s="16" t="str">
        <f aca="false">IFERROR(IF(Members!A476="","",Members!C476),"")</f>
        <v/>
      </c>
      <c r="D479" s="16" t="str">
        <f aca="false">IFERROR(IF(Members!A476="","",Members!D476),"")</f>
        <v/>
      </c>
      <c r="E479" s="16" t="str">
        <f aca="false">IF(A479="","",COUNTIF(Completions!A:A,A479))</f>
        <v/>
      </c>
      <c r="F479" s="16" t="str">
        <f aca="false">IF(A479="","",SUMPRODUCT((Completions!A$2:A$5000=A479)*IFERROR(VLOOKUP(Completions!B$2:B$5000,$J$4:$K$18,2,FALSE()),0)))</f>
        <v/>
      </c>
      <c r="G479" s="16" t="str">
        <f aca="false">IF(A479="","",IF(F479&gt;=20,"Gold",IF(F479&gt;=14,"Silver",IF(F479&gt;=8,"Bronze","—"))))</f>
        <v/>
      </c>
      <c r="H479" s="16" t="str">
        <f aca="false">IF(A479="","",IFERROR(TEXT(maxifs(Completions!G:G,Completions!A:A,A479),"yyyy-mm-dd hh:mm"),"—"))</f>
        <v/>
      </c>
    </row>
    <row r="480" customFormat="false" ht="21.75" hidden="false" customHeight="true" outlineLevel="0" collapsed="false">
      <c r="A480" s="17" t="str">
        <f aca="false">IFERROR(IF(Members!A477="","",Members!A477),"")</f>
        <v/>
      </c>
      <c r="B480" s="17" t="str">
        <f aca="false">IFERROR(IF(Members!A477="","",Members!B477),"")</f>
        <v/>
      </c>
      <c r="C480" s="17" t="str">
        <f aca="false">IFERROR(IF(Members!A477="","",Members!C477),"")</f>
        <v/>
      </c>
      <c r="D480" s="17" t="str">
        <f aca="false">IFERROR(IF(Members!A477="","",Members!D477),"")</f>
        <v/>
      </c>
      <c r="E480" s="17" t="str">
        <f aca="false">IF(A480="","",COUNTIF(Completions!A:A,A480))</f>
        <v/>
      </c>
      <c r="F480" s="17" t="str">
        <f aca="false">IF(A480="","",SUMPRODUCT((Completions!A$2:A$5000=A480)*IFERROR(VLOOKUP(Completions!B$2:B$5000,$J$4:$K$18,2,FALSE()),0)))</f>
        <v/>
      </c>
      <c r="G480" s="17" t="str">
        <f aca="false">IF(A480="","",IF(F480&gt;=20,"Gold",IF(F480&gt;=14,"Silver",IF(F480&gt;=8,"Bronze","—"))))</f>
        <v/>
      </c>
      <c r="H480" s="17" t="str">
        <f aca="false">IF(A480="","",IFERROR(TEXT(maxifs(Completions!G:G,Completions!A:A,A480),"yyyy-mm-dd hh:mm"),"—"))</f>
        <v/>
      </c>
    </row>
    <row r="481" customFormat="false" ht="21.75" hidden="false" customHeight="true" outlineLevel="0" collapsed="false">
      <c r="A481" s="16" t="str">
        <f aca="false">IFERROR(IF(Members!A478="","",Members!A478),"")</f>
        <v/>
      </c>
      <c r="B481" s="16" t="str">
        <f aca="false">IFERROR(IF(Members!A478="","",Members!B478),"")</f>
        <v/>
      </c>
      <c r="C481" s="16" t="str">
        <f aca="false">IFERROR(IF(Members!A478="","",Members!C478),"")</f>
        <v/>
      </c>
      <c r="D481" s="16" t="str">
        <f aca="false">IFERROR(IF(Members!A478="","",Members!D478),"")</f>
        <v/>
      </c>
      <c r="E481" s="16" t="str">
        <f aca="false">IF(A481="","",COUNTIF(Completions!A:A,A481))</f>
        <v/>
      </c>
      <c r="F481" s="16" t="str">
        <f aca="false">IF(A481="","",SUMPRODUCT((Completions!A$2:A$5000=A481)*IFERROR(VLOOKUP(Completions!B$2:B$5000,$J$4:$K$18,2,FALSE()),0)))</f>
        <v/>
      </c>
      <c r="G481" s="16" t="str">
        <f aca="false">IF(A481="","",IF(F481&gt;=20,"Gold",IF(F481&gt;=14,"Silver",IF(F481&gt;=8,"Bronze","—"))))</f>
        <v/>
      </c>
      <c r="H481" s="16" t="str">
        <f aca="false">IF(A481="","",IFERROR(TEXT(maxifs(Completions!G:G,Completions!A:A,A481),"yyyy-mm-dd hh:mm"),"—"))</f>
        <v/>
      </c>
    </row>
    <row r="482" customFormat="false" ht="21.75" hidden="false" customHeight="true" outlineLevel="0" collapsed="false">
      <c r="A482" s="17" t="str">
        <f aca="false">IFERROR(IF(Members!A479="","",Members!A479),"")</f>
        <v/>
      </c>
      <c r="B482" s="17" t="str">
        <f aca="false">IFERROR(IF(Members!A479="","",Members!B479),"")</f>
        <v/>
      </c>
      <c r="C482" s="17" t="str">
        <f aca="false">IFERROR(IF(Members!A479="","",Members!C479),"")</f>
        <v/>
      </c>
      <c r="D482" s="17" t="str">
        <f aca="false">IFERROR(IF(Members!A479="","",Members!D479),"")</f>
        <v/>
      </c>
      <c r="E482" s="17" t="str">
        <f aca="false">IF(A482="","",COUNTIF(Completions!A:A,A482))</f>
        <v/>
      </c>
      <c r="F482" s="17" t="str">
        <f aca="false">IF(A482="","",SUMPRODUCT((Completions!A$2:A$5000=A482)*IFERROR(VLOOKUP(Completions!B$2:B$5000,$J$4:$K$18,2,FALSE()),0)))</f>
        <v/>
      </c>
      <c r="G482" s="17" t="str">
        <f aca="false">IF(A482="","",IF(F482&gt;=20,"Gold",IF(F482&gt;=14,"Silver",IF(F482&gt;=8,"Bronze","—"))))</f>
        <v/>
      </c>
      <c r="H482" s="17" t="str">
        <f aca="false">IF(A482="","",IFERROR(TEXT(maxifs(Completions!G:G,Completions!A:A,A482),"yyyy-mm-dd hh:mm"),"—"))</f>
        <v/>
      </c>
    </row>
    <row r="483" customFormat="false" ht="21.75" hidden="false" customHeight="true" outlineLevel="0" collapsed="false">
      <c r="A483" s="16" t="str">
        <f aca="false">IFERROR(IF(Members!A480="","",Members!A480),"")</f>
        <v/>
      </c>
      <c r="B483" s="16" t="str">
        <f aca="false">IFERROR(IF(Members!A480="","",Members!B480),"")</f>
        <v/>
      </c>
      <c r="C483" s="16" t="str">
        <f aca="false">IFERROR(IF(Members!A480="","",Members!C480),"")</f>
        <v/>
      </c>
      <c r="D483" s="16" t="str">
        <f aca="false">IFERROR(IF(Members!A480="","",Members!D480),"")</f>
        <v/>
      </c>
      <c r="E483" s="16" t="str">
        <f aca="false">IF(A483="","",COUNTIF(Completions!A:A,A483))</f>
        <v/>
      </c>
      <c r="F483" s="16" t="str">
        <f aca="false">IF(A483="","",SUMPRODUCT((Completions!A$2:A$5000=A483)*IFERROR(VLOOKUP(Completions!B$2:B$5000,$J$4:$K$18,2,FALSE()),0)))</f>
        <v/>
      </c>
      <c r="G483" s="16" t="str">
        <f aca="false">IF(A483="","",IF(F483&gt;=20,"Gold",IF(F483&gt;=14,"Silver",IF(F483&gt;=8,"Bronze","—"))))</f>
        <v/>
      </c>
      <c r="H483" s="16" t="str">
        <f aca="false">IF(A483="","",IFERROR(TEXT(maxifs(Completions!G:G,Completions!A:A,A483),"yyyy-mm-dd hh:mm"),"—"))</f>
        <v/>
      </c>
    </row>
    <row r="484" customFormat="false" ht="21.75" hidden="false" customHeight="true" outlineLevel="0" collapsed="false">
      <c r="A484" s="17" t="str">
        <f aca="false">IFERROR(IF(Members!A481="","",Members!A481),"")</f>
        <v/>
      </c>
      <c r="B484" s="17" t="str">
        <f aca="false">IFERROR(IF(Members!A481="","",Members!B481),"")</f>
        <v/>
      </c>
      <c r="C484" s="17" t="str">
        <f aca="false">IFERROR(IF(Members!A481="","",Members!C481),"")</f>
        <v/>
      </c>
      <c r="D484" s="17" t="str">
        <f aca="false">IFERROR(IF(Members!A481="","",Members!D481),"")</f>
        <v/>
      </c>
      <c r="E484" s="17" t="str">
        <f aca="false">IF(A484="","",COUNTIF(Completions!A:A,A484))</f>
        <v/>
      </c>
      <c r="F484" s="17" t="str">
        <f aca="false">IF(A484="","",SUMPRODUCT((Completions!A$2:A$5000=A484)*IFERROR(VLOOKUP(Completions!B$2:B$5000,$J$4:$K$18,2,FALSE()),0)))</f>
        <v/>
      </c>
      <c r="G484" s="17" t="str">
        <f aca="false">IF(A484="","",IF(F484&gt;=20,"Gold",IF(F484&gt;=14,"Silver",IF(F484&gt;=8,"Bronze","—"))))</f>
        <v/>
      </c>
      <c r="H484" s="17" t="str">
        <f aca="false">IF(A484="","",IFERROR(TEXT(maxifs(Completions!G:G,Completions!A:A,A484),"yyyy-mm-dd hh:mm"),"—"))</f>
        <v/>
      </c>
    </row>
    <row r="485" customFormat="false" ht="21.75" hidden="false" customHeight="true" outlineLevel="0" collapsed="false">
      <c r="A485" s="16" t="str">
        <f aca="false">IFERROR(IF(Members!A482="","",Members!A482),"")</f>
        <v/>
      </c>
      <c r="B485" s="16" t="str">
        <f aca="false">IFERROR(IF(Members!A482="","",Members!B482),"")</f>
        <v/>
      </c>
      <c r="C485" s="16" t="str">
        <f aca="false">IFERROR(IF(Members!A482="","",Members!C482),"")</f>
        <v/>
      </c>
      <c r="D485" s="16" t="str">
        <f aca="false">IFERROR(IF(Members!A482="","",Members!D482),"")</f>
        <v/>
      </c>
      <c r="E485" s="16" t="str">
        <f aca="false">IF(A485="","",COUNTIF(Completions!A:A,A485))</f>
        <v/>
      </c>
      <c r="F485" s="16" t="str">
        <f aca="false">IF(A485="","",SUMPRODUCT((Completions!A$2:A$5000=A485)*IFERROR(VLOOKUP(Completions!B$2:B$5000,$J$4:$K$18,2,FALSE()),0)))</f>
        <v/>
      </c>
      <c r="G485" s="16" t="str">
        <f aca="false">IF(A485="","",IF(F485&gt;=20,"Gold",IF(F485&gt;=14,"Silver",IF(F485&gt;=8,"Bronze","—"))))</f>
        <v/>
      </c>
      <c r="H485" s="16" t="str">
        <f aca="false">IF(A485="","",IFERROR(TEXT(maxifs(Completions!G:G,Completions!A:A,A485),"yyyy-mm-dd hh:mm"),"—"))</f>
        <v/>
      </c>
    </row>
    <row r="486" customFormat="false" ht="21.75" hidden="false" customHeight="true" outlineLevel="0" collapsed="false">
      <c r="A486" s="17" t="str">
        <f aca="false">IFERROR(IF(Members!A483="","",Members!A483),"")</f>
        <v/>
      </c>
      <c r="B486" s="17" t="str">
        <f aca="false">IFERROR(IF(Members!A483="","",Members!B483),"")</f>
        <v/>
      </c>
      <c r="C486" s="17" t="str">
        <f aca="false">IFERROR(IF(Members!A483="","",Members!C483),"")</f>
        <v/>
      </c>
      <c r="D486" s="17" t="str">
        <f aca="false">IFERROR(IF(Members!A483="","",Members!D483),"")</f>
        <v/>
      </c>
      <c r="E486" s="17" t="str">
        <f aca="false">IF(A486="","",COUNTIF(Completions!A:A,A486))</f>
        <v/>
      </c>
      <c r="F486" s="17" t="str">
        <f aca="false">IF(A486="","",SUMPRODUCT((Completions!A$2:A$5000=A486)*IFERROR(VLOOKUP(Completions!B$2:B$5000,$J$4:$K$18,2,FALSE()),0)))</f>
        <v/>
      </c>
      <c r="G486" s="17" t="str">
        <f aca="false">IF(A486="","",IF(F486&gt;=20,"Gold",IF(F486&gt;=14,"Silver",IF(F486&gt;=8,"Bronze","—"))))</f>
        <v/>
      </c>
      <c r="H486" s="17" t="str">
        <f aca="false">IF(A486="","",IFERROR(TEXT(maxifs(Completions!G:G,Completions!A:A,A486),"yyyy-mm-dd hh:mm"),"—"))</f>
        <v/>
      </c>
    </row>
    <row r="487" customFormat="false" ht="21.75" hidden="false" customHeight="true" outlineLevel="0" collapsed="false">
      <c r="A487" s="16" t="str">
        <f aca="false">IFERROR(IF(Members!A484="","",Members!A484),"")</f>
        <v/>
      </c>
      <c r="B487" s="16" t="str">
        <f aca="false">IFERROR(IF(Members!A484="","",Members!B484),"")</f>
        <v/>
      </c>
      <c r="C487" s="16" t="str">
        <f aca="false">IFERROR(IF(Members!A484="","",Members!C484),"")</f>
        <v/>
      </c>
      <c r="D487" s="16" t="str">
        <f aca="false">IFERROR(IF(Members!A484="","",Members!D484),"")</f>
        <v/>
      </c>
      <c r="E487" s="16" t="str">
        <f aca="false">IF(A487="","",COUNTIF(Completions!A:A,A487))</f>
        <v/>
      </c>
      <c r="F487" s="16" t="str">
        <f aca="false">IF(A487="","",SUMPRODUCT((Completions!A$2:A$5000=A487)*IFERROR(VLOOKUP(Completions!B$2:B$5000,$J$4:$K$18,2,FALSE()),0)))</f>
        <v/>
      </c>
      <c r="G487" s="16" t="str">
        <f aca="false">IF(A487="","",IF(F487&gt;=20,"Gold",IF(F487&gt;=14,"Silver",IF(F487&gt;=8,"Bronze","—"))))</f>
        <v/>
      </c>
      <c r="H487" s="16" t="str">
        <f aca="false">IF(A487="","",IFERROR(TEXT(maxifs(Completions!G:G,Completions!A:A,A487),"yyyy-mm-dd hh:mm"),"—"))</f>
        <v/>
      </c>
    </row>
    <row r="488" customFormat="false" ht="21.75" hidden="false" customHeight="true" outlineLevel="0" collapsed="false">
      <c r="A488" s="17" t="str">
        <f aca="false">IFERROR(IF(Members!A485="","",Members!A485),"")</f>
        <v/>
      </c>
      <c r="B488" s="17" t="str">
        <f aca="false">IFERROR(IF(Members!A485="","",Members!B485),"")</f>
        <v/>
      </c>
      <c r="C488" s="17" t="str">
        <f aca="false">IFERROR(IF(Members!A485="","",Members!C485),"")</f>
        <v/>
      </c>
      <c r="D488" s="17" t="str">
        <f aca="false">IFERROR(IF(Members!A485="","",Members!D485),"")</f>
        <v/>
      </c>
      <c r="E488" s="17" t="str">
        <f aca="false">IF(A488="","",COUNTIF(Completions!A:A,A488))</f>
        <v/>
      </c>
      <c r="F488" s="17" t="str">
        <f aca="false">IF(A488="","",SUMPRODUCT((Completions!A$2:A$5000=A488)*IFERROR(VLOOKUP(Completions!B$2:B$5000,$J$4:$K$18,2,FALSE()),0)))</f>
        <v/>
      </c>
      <c r="G488" s="17" t="str">
        <f aca="false">IF(A488="","",IF(F488&gt;=20,"Gold",IF(F488&gt;=14,"Silver",IF(F488&gt;=8,"Bronze","—"))))</f>
        <v/>
      </c>
      <c r="H488" s="17" t="str">
        <f aca="false">IF(A488="","",IFERROR(TEXT(maxifs(Completions!G:G,Completions!A:A,A488),"yyyy-mm-dd hh:mm"),"—"))</f>
        <v/>
      </c>
    </row>
    <row r="489" customFormat="false" ht="21.75" hidden="false" customHeight="true" outlineLevel="0" collapsed="false">
      <c r="A489" s="16" t="str">
        <f aca="false">IFERROR(IF(Members!A486="","",Members!A486),"")</f>
        <v/>
      </c>
      <c r="B489" s="16" t="str">
        <f aca="false">IFERROR(IF(Members!A486="","",Members!B486),"")</f>
        <v/>
      </c>
      <c r="C489" s="16" t="str">
        <f aca="false">IFERROR(IF(Members!A486="","",Members!C486),"")</f>
        <v/>
      </c>
      <c r="D489" s="16" t="str">
        <f aca="false">IFERROR(IF(Members!A486="","",Members!D486),"")</f>
        <v/>
      </c>
      <c r="E489" s="16" t="str">
        <f aca="false">IF(A489="","",COUNTIF(Completions!A:A,A489))</f>
        <v/>
      </c>
      <c r="F489" s="16" t="str">
        <f aca="false">IF(A489="","",SUMPRODUCT((Completions!A$2:A$5000=A489)*IFERROR(VLOOKUP(Completions!B$2:B$5000,$J$4:$K$18,2,FALSE()),0)))</f>
        <v/>
      </c>
      <c r="G489" s="16" t="str">
        <f aca="false">IF(A489="","",IF(F489&gt;=20,"Gold",IF(F489&gt;=14,"Silver",IF(F489&gt;=8,"Bronze","—"))))</f>
        <v/>
      </c>
      <c r="H489" s="16" t="str">
        <f aca="false">IF(A489="","",IFERROR(TEXT(maxifs(Completions!G:G,Completions!A:A,A489),"yyyy-mm-dd hh:mm"),"—"))</f>
        <v/>
      </c>
    </row>
    <row r="490" customFormat="false" ht="21.75" hidden="false" customHeight="true" outlineLevel="0" collapsed="false">
      <c r="A490" s="17" t="str">
        <f aca="false">IFERROR(IF(Members!A487="","",Members!A487),"")</f>
        <v/>
      </c>
      <c r="B490" s="17" t="str">
        <f aca="false">IFERROR(IF(Members!A487="","",Members!B487),"")</f>
        <v/>
      </c>
      <c r="C490" s="17" t="str">
        <f aca="false">IFERROR(IF(Members!A487="","",Members!C487),"")</f>
        <v/>
      </c>
      <c r="D490" s="17" t="str">
        <f aca="false">IFERROR(IF(Members!A487="","",Members!D487),"")</f>
        <v/>
      </c>
      <c r="E490" s="17" t="str">
        <f aca="false">IF(A490="","",COUNTIF(Completions!A:A,A490))</f>
        <v/>
      </c>
      <c r="F490" s="17" t="str">
        <f aca="false">IF(A490="","",SUMPRODUCT((Completions!A$2:A$5000=A490)*IFERROR(VLOOKUP(Completions!B$2:B$5000,$J$4:$K$18,2,FALSE()),0)))</f>
        <v/>
      </c>
      <c r="G490" s="17" t="str">
        <f aca="false">IF(A490="","",IF(F490&gt;=20,"Gold",IF(F490&gt;=14,"Silver",IF(F490&gt;=8,"Bronze","—"))))</f>
        <v/>
      </c>
      <c r="H490" s="17" t="str">
        <f aca="false">IF(A490="","",IFERROR(TEXT(maxifs(Completions!G:G,Completions!A:A,A490),"yyyy-mm-dd hh:mm"),"—"))</f>
        <v/>
      </c>
    </row>
    <row r="491" customFormat="false" ht="21.75" hidden="false" customHeight="true" outlineLevel="0" collapsed="false">
      <c r="A491" s="16" t="str">
        <f aca="false">IFERROR(IF(Members!A488="","",Members!A488),"")</f>
        <v/>
      </c>
      <c r="B491" s="16" t="str">
        <f aca="false">IFERROR(IF(Members!A488="","",Members!B488),"")</f>
        <v/>
      </c>
      <c r="C491" s="16" t="str">
        <f aca="false">IFERROR(IF(Members!A488="","",Members!C488),"")</f>
        <v/>
      </c>
      <c r="D491" s="16" t="str">
        <f aca="false">IFERROR(IF(Members!A488="","",Members!D488),"")</f>
        <v/>
      </c>
      <c r="E491" s="16" t="str">
        <f aca="false">IF(A491="","",COUNTIF(Completions!A:A,A491))</f>
        <v/>
      </c>
      <c r="F491" s="16" t="str">
        <f aca="false">IF(A491="","",SUMPRODUCT((Completions!A$2:A$5000=A491)*IFERROR(VLOOKUP(Completions!B$2:B$5000,$J$4:$K$18,2,FALSE()),0)))</f>
        <v/>
      </c>
      <c r="G491" s="16" t="str">
        <f aca="false">IF(A491="","",IF(F491&gt;=20,"Gold",IF(F491&gt;=14,"Silver",IF(F491&gt;=8,"Bronze","—"))))</f>
        <v/>
      </c>
      <c r="H491" s="16" t="str">
        <f aca="false">IF(A491="","",IFERROR(TEXT(maxifs(Completions!G:G,Completions!A:A,A491),"yyyy-mm-dd hh:mm"),"—"))</f>
        <v/>
      </c>
    </row>
    <row r="492" customFormat="false" ht="21.75" hidden="false" customHeight="true" outlineLevel="0" collapsed="false">
      <c r="A492" s="17" t="str">
        <f aca="false">IFERROR(IF(Members!A489="","",Members!A489),"")</f>
        <v/>
      </c>
      <c r="B492" s="17" t="str">
        <f aca="false">IFERROR(IF(Members!A489="","",Members!B489),"")</f>
        <v/>
      </c>
      <c r="C492" s="17" t="str">
        <f aca="false">IFERROR(IF(Members!A489="","",Members!C489),"")</f>
        <v/>
      </c>
      <c r="D492" s="17" t="str">
        <f aca="false">IFERROR(IF(Members!A489="","",Members!D489),"")</f>
        <v/>
      </c>
      <c r="E492" s="17" t="str">
        <f aca="false">IF(A492="","",COUNTIF(Completions!A:A,A492))</f>
        <v/>
      </c>
      <c r="F492" s="17" t="str">
        <f aca="false">IF(A492="","",SUMPRODUCT((Completions!A$2:A$5000=A492)*IFERROR(VLOOKUP(Completions!B$2:B$5000,$J$4:$K$18,2,FALSE()),0)))</f>
        <v/>
      </c>
      <c r="G492" s="17" t="str">
        <f aca="false">IF(A492="","",IF(F492&gt;=20,"Gold",IF(F492&gt;=14,"Silver",IF(F492&gt;=8,"Bronze","—"))))</f>
        <v/>
      </c>
      <c r="H492" s="17" t="str">
        <f aca="false">IF(A492="","",IFERROR(TEXT(maxifs(Completions!G:G,Completions!A:A,A492),"yyyy-mm-dd hh:mm"),"—"))</f>
        <v/>
      </c>
    </row>
    <row r="493" customFormat="false" ht="21.75" hidden="false" customHeight="true" outlineLevel="0" collapsed="false">
      <c r="A493" s="16" t="str">
        <f aca="false">IFERROR(IF(Members!A490="","",Members!A490),"")</f>
        <v/>
      </c>
      <c r="B493" s="16" t="str">
        <f aca="false">IFERROR(IF(Members!A490="","",Members!B490),"")</f>
        <v/>
      </c>
      <c r="C493" s="16" t="str">
        <f aca="false">IFERROR(IF(Members!A490="","",Members!C490),"")</f>
        <v/>
      </c>
      <c r="D493" s="16" t="str">
        <f aca="false">IFERROR(IF(Members!A490="","",Members!D490),"")</f>
        <v/>
      </c>
      <c r="E493" s="16" t="str">
        <f aca="false">IF(A493="","",COUNTIF(Completions!A:A,A493))</f>
        <v/>
      </c>
      <c r="F493" s="16" t="str">
        <f aca="false">IF(A493="","",SUMPRODUCT((Completions!A$2:A$5000=A493)*IFERROR(VLOOKUP(Completions!B$2:B$5000,$J$4:$K$18,2,FALSE()),0)))</f>
        <v/>
      </c>
      <c r="G493" s="16" t="str">
        <f aca="false">IF(A493="","",IF(F493&gt;=20,"Gold",IF(F493&gt;=14,"Silver",IF(F493&gt;=8,"Bronze","—"))))</f>
        <v/>
      </c>
      <c r="H493" s="16" t="str">
        <f aca="false">IF(A493="","",IFERROR(TEXT(maxifs(Completions!G:G,Completions!A:A,A493),"yyyy-mm-dd hh:mm"),"—"))</f>
        <v/>
      </c>
    </row>
    <row r="494" customFormat="false" ht="21.75" hidden="false" customHeight="true" outlineLevel="0" collapsed="false">
      <c r="A494" s="17" t="str">
        <f aca="false">IFERROR(IF(Members!A491="","",Members!A491),"")</f>
        <v/>
      </c>
      <c r="B494" s="17" t="str">
        <f aca="false">IFERROR(IF(Members!A491="","",Members!B491),"")</f>
        <v/>
      </c>
      <c r="C494" s="17" t="str">
        <f aca="false">IFERROR(IF(Members!A491="","",Members!C491),"")</f>
        <v/>
      </c>
      <c r="D494" s="17" t="str">
        <f aca="false">IFERROR(IF(Members!A491="","",Members!D491),"")</f>
        <v/>
      </c>
      <c r="E494" s="17" t="str">
        <f aca="false">IF(A494="","",COUNTIF(Completions!A:A,A494))</f>
        <v/>
      </c>
      <c r="F494" s="17" t="str">
        <f aca="false">IF(A494="","",SUMPRODUCT((Completions!A$2:A$5000=A494)*IFERROR(VLOOKUP(Completions!B$2:B$5000,$J$4:$K$18,2,FALSE()),0)))</f>
        <v/>
      </c>
      <c r="G494" s="17" t="str">
        <f aca="false">IF(A494="","",IF(F494&gt;=20,"Gold",IF(F494&gt;=14,"Silver",IF(F494&gt;=8,"Bronze","—"))))</f>
        <v/>
      </c>
      <c r="H494" s="17" t="str">
        <f aca="false">IF(A494="","",IFERROR(TEXT(maxifs(Completions!G:G,Completions!A:A,A494),"yyyy-mm-dd hh:mm"),"—"))</f>
        <v/>
      </c>
    </row>
    <row r="495" customFormat="false" ht="21.75" hidden="false" customHeight="true" outlineLevel="0" collapsed="false">
      <c r="A495" s="16" t="str">
        <f aca="false">IFERROR(IF(Members!A492="","",Members!A492),"")</f>
        <v/>
      </c>
      <c r="B495" s="16" t="str">
        <f aca="false">IFERROR(IF(Members!A492="","",Members!B492),"")</f>
        <v/>
      </c>
      <c r="C495" s="16" t="str">
        <f aca="false">IFERROR(IF(Members!A492="","",Members!C492),"")</f>
        <v/>
      </c>
      <c r="D495" s="16" t="str">
        <f aca="false">IFERROR(IF(Members!A492="","",Members!D492),"")</f>
        <v/>
      </c>
      <c r="E495" s="16" t="str">
        <f aca="false">IF(A495="","",COUNTIF(Completions!A:A,A495))</f>
        <v/>
      </c>
      <c r="F495" s="16" t="str">
        <f aca="false">IF(A495="","",SUMPRODUCT((Completions!A$2:A$5000=A495)*IFERROR(VLOOKUP(Completions!B$2:B$5000,$J$4:$K$18,2,FALSE()),0)))</f>
        <v/>
      </c>
      <c r="G495" s="16" t="str">
        <f aca="false">IF(A495="","",IF(F495&gt;=20,"Gold",IF(F495&gt;=14,"Silver",IF(F495&gt;=8,"Bronze","—"))))</f>
        <v/>
      </c>
      <c r="H495" s="16" t="str">
        <f aca="false">IF(A495="","",IFERROR(TEXT(maxifs(Completions!G:G,Completions!A:A,A495),"yyyy-mm-dd hh:mm"),"—"))</f>
        <v/>
      </c>
    </row>
    <row r="496" customFormat="false" ht="21.75" hidden="false" customHeight="true" outlineLevel="0" collapsed="false">
      <c r="A496" s="17" t="str">
        <f aca="false">IFERROR(IF(Members!A493="","",Members!A493),"")</f>
        <v/>
      </c>
      <c r="B496" s="17" t="str">
        <f aca="false">IFERROR(IF(Members!A493="","",Members!B493),"")</f>
        <v/>
      </c>
      <c r="C496" s="17" t="str">
        <f aca="false">IFERROR(IF(Members!A493="","",Members!C493),"")</f>
        <v/>
      </c>
      <c r="D496" s="17" t="str">
        <f aca="false">IFERROR(IF(Members!A493="","",Members!D493),"")</f>
        <v/>
      </c>
      <c r="E496" s="17" t="str">
        <f aca="false">IF(A496="","",COUNTIF(Completions!A:A,A496))</f>
        <v/>
      </c>
      <c r="F496" s="17" t="str">
        <f aca="false">IF(A496="","",SUMPRODUCT((Completions!A$2:A$5000=A496)*IFERROR(VLOOKUP(Completions!B$2:B$5000,$J$4:$K$18,2,FALSE()),0)))</f>
        <v/>
      </c>
      <c r="G496" s="17" t="str">
        <f aca="false">IF(A496="","",IF(F496&gt;=20,"Gold",IF(F496&gt;=14,"Silver",IF(F496&gt;=8,"Bronze","—"))))</f>
        <v/>
      </c>
      <c r="H496" s="17" t="str">
        <f aca="false">IF(A496="","",IFERROR(TEXT(maxifs(Completions!G:G,Completions!A:A,A496),"yyyy-mm-dd hh:mm"),"—"))</f>
        <v/>
      </c>
    </row>
    <row r="497" customFormat="false" ht="21.75" hidden="false" customHeight="true" outlineLevel="0" collapsed="false">
      <c r="A497" s="16" t="str">
        <f aca="false">IFERROR(IF(Members!A494="","",Members!A494),"")</f>
        <v/>
      </c>
      <c r="B497" s="16" t="str">
        <f aca="false">IFERROR(IF(Members!A494="","",Members!B494),"")</f>
        <v/>
      </c>
      <c r="C497" s="16" t="str">
        <f aca="false">IFERROR(IF(Members!A494="","",Members!C494),"")</f>
        <v/>
      </c>
      <c r="D497" s="16" t="str">
        <f aca="false">IFERROR(IF(Members!A494="","",Members!D494),"")</f>
        <v/>
      </c>
      <c r="E497" s="16" t="str">
        <f aca="false">IF(A497="","",COUNTIF(Completions!A:A,A497))</f>
        <v/>
      </c>
      <c r="F497" s="16" t="str">
        <f aca="false">IF(A497="","",SUMPRODUCT((Completions!A$2:A$5000=A497)*IFERROR(VLOOKUP(Completions!B$2:B$5000,$J$4:$K$18,2,FALSE()),0)))</f>
        <v/>
      </c>
      <c r="G497" s="16" t="str">
        <f aca="false">IF(A497="","",IF(F497&gt;=20,"Gold",IF(F497&gt;=14,"Silver",IF(F497&gt;=8,"Bronze","—"))))</f>
        <v/>
      </c>
      <c r="H497" s="16" t="str">
        <f aca="false">IF(A497="","",IFERROR(TEXT(maxifs(Completions!G:G,Completions!A:A,A497),"yyyy-mm-dd hh:mm"),"—"))</f>
        <v/>
      </c>
    </row>
    <row r="498" customFormat="false" ht="21.75" hidden="false" customHeight="true" outlineLevel="0" collapsed="false">
      <c r="A498" s="17" t="str">
        <f aca="false">IFERROR(IF(Members!A495="","",Members!A495),"")</f>
        <v/>
      </c>
      <c r="B498" s="17" t="str">
        <f aca="false">IFERROR(IF(Members!A495="","",Members!B495),"")</f>
        <v/>
      </c>
      <c r="C498" s="17" t="str">
        <f aca="false">IFERROR(IF(Members!A495="","",Members!C495),"")</f>
        <v/>
      </c>
      <c r="D498" s="17" t="str">
        <f aca="false">IFERROR(IF(Members!A495="","",Members!D495),"")</f>
        <v/>
      </c>
      <c r="E498" s="17" t="str">
        <f aca="false">IF(A498="","",COUNTIF(Completions!A:A,A498))</f>
        <v/>
      </c>
      <c r="F498" s="17" t="str">
        <f aca="false">IF(A498="","",SUMPRODUCT((Completions!A$2:A$5000=A498)*IFERROR(VLOOKUP(Completions!B$2:B$5000,$J$4:$K$18,2,FALSE()),0)))</f>
        <v/>
      </c>
      <c r="G498" s="17" t="str">
        <f aca="false">IF(A498="","",IF(F498&gt;=20,"Gold",IF(F498&gt;=14,"Silver",IF(F498&gt;=8,"Bronze","—"))))</f>
        <v/>
      </c>
      <c r="H498" s="17" t="str">
        <f aca="false">IF(A498="","",IFERROR(TEXT(maxifs(Completions!G:G,Completions!A:A,A498),"yyyy-mm-dd hh:mm"),"—"))</f>
        <v/>
      </c>
    </row>
    <row r="499" customFormat="false" ht="21.75" hidden="false" customHeight="true" outlineLevel="0" collapsed="false">
      <c r="A499" s="16" t="str">
        <f aca="false">IFERROR(IF(Members!A496="","",Members!A496),"")</f>
        <v/>
      </c>
      <c r="B499" s="16" t="str">
        <f aca="false">IFERROR(IF(Members!A496="","",Members!B496),"")</f>
        <v/>
      </c>
      <c r="C499" s="16" t="str">
        <f aca="false">IFERROR(IF(Members!A496="","",Members!C496),"")</f>
        <v/>
      </c>
      <c r="D499" s="16" t="str">
        <f aca="false">IFERROR(IF(Members!A496="","",Members!D496),"")</f>
        <v/>
      </c>
      <c r="E499" s="16" t="str">
        <f aca="false">IF(A499="","",COUNTIF(Completions!A:A,A499))</f>
        <v/>
      </c>
      <c r="F499" s="16" t="str">
        <f aca="false">IF(A499="","",SUMPRODUCT((Completions!A$2:A$5000=A499)*IFERROR(VLOOKUP(Completions!B$2:B$5000,$J$4:$K$18,2,FALSE()),0)))</f>
        <v/>
      </c>
      <c r="G499" s="16" t="str">
        <f aca="false">IF(A499="","",IF(F499&gt;=20,"Gold",IF(F499&gt;=14,"Silver",IF(F499&gt;=8,"Bronze","—"))))</f>
        <v/>
      </c>
      <c r="H499" s="16" t="str">
        <f aca="false">IF(A499="","",IFERROR(TEXT(maxifs(Completions!G:G,Completions!A:A,A499),"yyyy-mm-dd hh:mm"),"—"))</f>
        <v/>
      </c>
    </row>
    <row r="500" customFormat="false" ht="21.75" hidden="false" customHeight="true" outlineLevel="0" collapsed="false">
      <c r="A500" s="17" t="str">
        <f aca="false">IFERROR(IF(Members!A497="","",Members!A497),"")</f>
        <v/>
      </c>
      <c r="B500" s="17" t="str">
        <f aca="false">IFERROR(IF(Members!A497="","",Members!B497),"")</f>
        <v/>
      </c>
      <c r="C500" s="17" t="str">
        <f aca="false">IFERROR(IF(Members!A497="","",Members!C497),"")</f>
        <v/>
      </c>
      <c r="D500" s="17" t="str">
        <f aca="false">IFERROR(IF(Members!A497="","",Members!D497),"")</f>
        <v/>
      </c>
      <c r="E500" s="17" t="str">
        <f aca="false">IF(A500="","",COUNTIF(Completions!A:A,A500))</f>
        <v/>
      </c>
      <c r="F500" s="17" t="str">
        <f aca="false">IF(A500="","",SUMPRODUCT((Completions!A$2:A$5000=A500)*IFERROR(VLOOKUP(Completions!B$2:B$5000,$J$4:$K$18,2,FALSE()),0)))</f>
        <v/>
      </c>
      <c r="G500" s="17" t="str">
        <f aca="false">IF(A500="","",IF(F500&gt;=20,"Gold",IF(F500&gt;=14,"Silver",IF(F500&gt;=8,"Bronze","—"))))</f>
        <v/>
      </c>
      <c r="H500" s="17" t="str">
        <f aca="false">IF(A500="","",IFERROR(TEXT(maxifs(Completions!G:G,Completions!A:A,A500),"yyyy-mm-dd hh:mm"),"—"))</f>
        <v/>
      </c>
    </row>
    <row r="501" customFormat="false" ht="21.75" hidden="false" customHeight="true" outlineLevel="0" collapsed="false">
      <c r="A501" s="16" t="str">
        <f aca="false">IFERROR(IF(Members!A498="","",Members!A498),"")</f>
        <v/>
      </c>
      <c r="B501" s="16" t="str">
        <f aca="false">IFERROR(IF(Members!A498="","",Members!B498),"")</f>
        <v/>
      </c>
      <c r="C501" s="16" t="str">
        <f aca="false">IFERROR(IF(Members!A498="","",Members!C498),"")</f>
        <v/>
      </c>
      <c r="D501" s="16" t="str">
        <f aca="false">IFERROR(IF(Members!A498="","",Members!D498),"")</f>
        <v/>
      </c>
      <c r="E501" s="16" t="str">
        <f aca="false">IF(A501="","",COUNTIF(Completions!A:A,A501))</f>
        <v/>
      </c>
      <c r="F501" s="16" t="str">
        <f aca="false">IF(A501="","",SUMPRODUCT((Completions!A$2:A$5000=A501)*IFERROR(VLOOKUP(Completions!B$2:B$5000,$J$4:$K$18,2,FALSE()),0)))</f>
        <v/>
      </c>
      <c r="G501" s="16" t="str">
        <f aca="false">IF(A501="","",IF(F501&gt;=20,"Gold",IF(F501&gt;=14,"Silver",IF(F501&gt;=8,"Bronze","—"))))</f>
        <v/>
      </c>
      <c r="H501" s="16" t="str">
        <f aca="false">IF(A501="","",IFERROR(TEXT(maxifs(Completions!G:G,Completions!A:A,A501),"yyyy-mm-dd hh:mm"),"—"))</f>
        <v/>
      </c>
    </row>
    <row r="502" customFormat="false" ht="21.75" hidden="false" customHeight="true" outlineLevel="0" collapsed="false">
      <c r="A502" s="17" t="str">
        <f aca="false">IFERROR(IF(Members!A499="","",Members!A499),"")</f>
        <v/>
      </c>
      <c r="B502" s="17" t="str">
        <f aca="false">IFERROR(IF(Members!A499="","",Members!B499),"")</f>
        <v/>
      </c>
      <c r="C502" s="17" t="str">
        <f aca="false">IFERROR(IF(Members!A499="","",Members!C499),"")</f>
        <v/>
      </c>
      <c r="D502" s="17" t="str">
        <f aca="false">IFERROR(IF(Members!A499="","",Members!D499),"")</f>
        <v/>
      </c>
      <c r="E502" s="17" t="str">
        <f aca="false">IF(A502="","",COUNTIF(Completions!A:A,A502))</f>
        <v/>
      </c>
      <c r="F502" s="17" t="str">
        <f aca="false">IF(A502="","",SUMPRODUCT((Completions!A$2:A$5000=A502)*IFERROR(VLOOKUP(Completions!B$2:B$5000,$J$4:$K$18,2,FALSE()),0)))</f>
        <v/>
      </c>
      <c r="G502" s="17" t="str">
        <f aca="false">IF(A502="","",IF(F502&gt;=20,"Gold",IF(F502&gt;=14,"Silver",IF(F502&gt;=8,"Bronze","—"))))</f>
        <v/>
      </c>
      <c r="H502" s="17" t="str">
        <f aca="false">IF(A502="","",IFERROR(TEXT(maxifs(Completions!G:G,Completions!A:A,A502),"yyyy-mm-dd hh:mm"),"—"))</f>
        <v/>
      </c>
    </row>
    <row r="503" customFormat="false" ht="21.75" hidden="false" customHeight="true" outlineLevel="0" collapsed="false">
      <c r="A503" s="16" t="str">
        <f aca="false">IFERROR(IF(Members!A500="","",Members!A500),"")</f>
        <v/>
      </c>
      <c r="B503" s="16" t="str">
        <f aca="false">IFERROR(IF(Members!A500="","",Members!B500),"")</f>
        <v/>
      </c>
      <c r="C503" s="16" t="str">
        <f aca="false">IFERROR(IF(Members!A500="","",Members!C500),"")</f>
        <v/>
      </c>
      <c r="D503" s="16" t="str">
        <f aca="false">IFERROR(IF(Members!A500="","",Members!D500),"")</f>
        <v/>
      </c>
      <c r="E503" s="16" t="str">
        <f aca="false">IF(A503="","",COUNTIF(Completions!A:A,A503))</f>
        <v/>
      </c>
      <c r="F503" s="16" t="str">
        <f aca="false">IF(A503="","",SUMPRODUCT((Completions!A$2:A$5000=A503)*IFERROR(VLOOKUP(Completions!B$2:B$5000,$J$4:$K$18,2,FALSE()),0)))</f>
        <v/>
      </c>
      <c r="G503" s="16" t="str">
        <f aca="false">IF(A503="","",IF(F503&gt;=20,"Gold",IF(F503&gt;=14,"Silver",IF(F503&gt;=8,"Bronze","—"))))</f>
        <v/>
      </c>
      <c r="H503" s="16" t="str">
        <f aca="false">IF(A503="","",IFERROR(TEXT(maxifs(Completions!G:G,Completions!A:A,A503),"yyyy-mm-dd hh:mm"),"—"))</f>
        <v/>
      </c>
    </row>
    <row r="504" customFormat="false" ht="21.75" hidden="false" customHeight="true" outlineLevel="0" collapsed="false">
      <c r="A504" s="17" t="str">
        <f aca="false">IFERROR(IF(Members!A501="","",Members!A501),"")</f>
        <v/>
      </c>
      <c r="B504" s="17" t="str">
        <f aca="false">IFERROR(IF(Members!A501="","",Members!B501),"")</f>
        <v/>
      </c>
      <c r="C504" s="17" t="str">
        <f aca="false">IFERROR(IF(Members!A501="","",Members!C501),"")</f>
        <v/>
      </c>
      <c r="D504" s="17" t="str">
        <f aca="false">IFERROR(IF(Members!A501="","",Members!D501),"")</f>
        <v/>
      </c>
      <c r="E504" s="17" t="str">
        <f aca="false">IF(A504="","",COUNTIF(Completions!A:A,A504))</f>
        <v/>
      </c>
      <c r="F504" s="17" t="str">
        <f aca="false">IF(A504="","",SUMPRODUCT((Completions!A$2:A$5000=A504)*IFERROR(VLOOKUP(Completions!B$2:B$5000,$J$4:$K$18,2,FALSE()),0)))</f>
        <v/>
      </c>
      <c r="G504" s="17" t="str">
        <f aca="false">IF(A504="","",IF(F504&gt;=20,"Gold",IF(F504&gt;=14,"Silver",IF(F504&gt;=8,"Bronze","—"))))</f>
        <v/>
      </c>
      <c r="H504" s="17" t="str">
        <f aca="false">IF(A504="","",IFERROR(TEXT(maxifs(Completions!G:G,Completions!A:A,A504),"yyyy-mm-dd hh:mm"),"—"))</f>
        <v/>
      </c>
    </row>
  </sheetData>
  <mergeCells count="2">
    <mergeCell ref="A1:G1"/>
    <mergeCell ref="A2:G2"/>
  </mergeCells>
  <conditionalFormatting sqref="G5:G504">
    <cfRule type="cellIs" priority="2" operator="equal" aboveAverage="0" equalAverage="0" bottom="0" percent="0" rank="0" text="" dxfId="0">
      <formula>"Gold"</formula>
    </cfRule>
    <cfRule type="cellIs" priority="3" operator="equal" aboveAverage="0" equalAverage="0" bottom="0" percent="0" rank="0" text="" dxfId="1">
      <formula>"Silver"</formula>
    </cfRule>
    <cfRule type="cellIs" priority="4" operator="equal" aboveAverage="0" equalAverage="0" bottom="0" percent="0" rank="0" text="" dxfId="2">
      <formula>"Bronze"</formula>
    </cfRule>
  </conditionalFormatting>
  <conditionalFormatting sqref="F5:F504">
    <cfRule type="colorScale" priority="5">
      <colorScale>
        <cfvo type="num" val="0"/>
        <cfvo type="num" val="10"/>
        <cfvo type="num" val="20"/>
        <color rgb="FFFFFFFF"/>
        <color rgb="FFFFE5C2"/>
        <color rgb="FFE8772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28"/>
    <col collapsed="false" customWidth="true" hidden="false" outlineLevel="0" max="7" min="7" style="0" width="38"/>
  </cols>
  <sheetData>
    <row r="1" customFormat="false" ht="15" hidden="false" customHeight="false" outlineLevel="0" collapsed="false">
      <c r="A1" s="7" t="s">
        <v>45</v>
      </c>
      <c r="B1" s="7" t="s">
        <v>85</v>
      </c>
      <c r="C1" s="7" t="s">
        <v>86</v>
      </c>
      <c r="D1" s="7" t="s">
        <v>87</v>
      </c>
      <c r="E1" s="7" t="s">
        <v>57</v>
      </c>
      <c r="F1" s="7" t="s">
        <v>88</v>
      </c>
      <c r="G1" s="7" t="s">
        <v>89</v>
      </c>
    </row>
    <row r="2" customFormat="false" ht="31.5" hidden="false" customHeight="true" outlineLevel="0" collapsed="false">
      <c r="A2" s="18" t="s">
        <v>67</v>
      </c>
      <c r="B2" s="18" t="s">
        <v>90</v>
      </c>
      <c r="C2" s="18" t="s">
        <v>91</v>
      </c>
      <c r="D2" s="18" t="s">
        <v>92</v>
      </c>
      <c r="E2" s="18" t="n">
        <v>3</v>
      </c>
      <c r="F2" s="18" t="s">
        <v>93</v>
      </c>
      <c r="G2" s="18" t="s">
        <v>94</v>
      </c>
    </row>
    <row r="3" customFormat="false" ht="31.5" hidden="false" customHeight="true" outlineLevel="0" collapsed="false">
      <c r="A3" s="19" t="s">
        <v>69</v>
      </c>
      <c r="B3" s="19" t="s">
        <v>95</v>
      </c>
      <c r="C3" s="19" t="s">
        <v>96</v>
      </c>
      <c r="D3" s="19" t="s">
        <v>92</v>
      </c>
      <c r="E3" s="19" t="n">
        <v>3</v>
      </c>
      <c r="F3" s="19" t="s">
        <v>97</v>
      </c>
      <c r="G3" s="19" t="s">
        <v>98</v>
      </c>
    </row>
    <row r="4" customFormat="false" ht="31.5" hidden="false" customHeight="true" outlineLevel="0" collapsed="false">
      <c r="A4" s="18" t="s">
        <v>71</v>
      </c>
      <c r="B4" s="18" t="s">
        <v>99</v>
      </c>
      <c r="C4" s="18" t="s">
        <v>100</v>
      </c>
      <c r="D4" s="18" t="s">
        <v>101</v>
      </c>
      <c r="E4" s="18" t="n">
        <v>2</v>
      </c>
      <c r="F4" s="18" t="s">
        <v>102</v>
      </c>
      <c r="G4" s="18" t="s">
        <v>103</v>
      </c>
    </row>
    <row r="5" customFormat="false" ht="31.5" hidden="false" customHeight="true" outlineLevel="0" collapsed="false">
      <c r="A5" s="19" t="s">
        <v>73</v>
      </c>
      <c r="B5" s="19" t="s">
        <v>104</v>
      </c>
      <c r="C5" s="19" t="s">
        <v>105</v>
      </c>
      <c r="D5" s="19" t="s">
        <v>101</v>
      </c>
      <c r="E5" s="19" t="n">
        <v>2</v>
      </c>
      <c r="F5" s="19" t="s">
        <v>106</v>
      </c>
      <c r="G5" s="19" t="s">
        <v>107</v>
      </c>
    </row>
    <row r="6" customFormat="false" ht="31.5" hidden="false" customHeight="true" outlineLevel="0" collapsed="false">
      <c r="A6" s="18" t="s">
        <v>74</v>
      </c>
      <c r="B6" s="18" t="s">
        <v>108</v>
      </c>
      <c r="C6" s="18" t="s">
        <v>109</v>
      </c>
      <c r="D6" s="18" t="s">
        <v>110</v>
      </c>
      <c r="E6" s="18" t="n">
        <v>2</v>
      </c>
      <c r="F6" s="18" t="s">
        <v>111</v>
      </c>
      <c r="G6" s="18" t="s">
        <v>112</v>
      </c>
    </row>
    <row r="7" customFormat="false" ht="31.5" hidden="false" customHeight="true" outlineLevel="0" collapsed="false">
      <c r="A7" s="19" t="s">
        <v>75</v>
      </c>
      <c r="B7" s="19" t="s">
        <v>113</v>
      </c>
      <c r="C7" s="19" t="s">
        <v>96</v>
      </c>
      <c r="D7" s="19" t="s">
        <v>92</v>
      </c>
      <c r="E7" s="19" t="n">
        <v>4</v>
      </c>
      <c r="F7" s="19" t="s">
        <v>114</v>
      </c>
      <c r="G7" s="19" t="s">
        <v>115</v>
      </c>
    </row>
    <row r="8" customFormat="false" ht="31.5" hidden="false" customHeight="true" outlineLevel="0" collapsed="false">
      <c r="A8" s="18" t="s">
        <v>76</v>
      </c>
      <c r="B8" s="18" t="s">
        <v>116</v>
      </c>
      <c r="C8" s="18" t="s">
        <v>100</v>
      </c>
      <c r="D8" s="18" t="s">
        <v>92</v>
      </c>
      <c r="E8" s="18" t="n">
        <v>3</v>
      </c>
      <c r="F8" s="18" t="s">
        <v>117</v>
      </c>
      <c r="G8" s="18" t="s">
        <v>118</v>
      </c>
    </row>
    <row r="9" customFormat="false" ht="31.5" hidden="false" customHeight="true" outlineLevel="0" collapsed="false">
      <c r="A9" s="19" t="s">
        <v>77</v>
      </c>
      <c r="B9" s="19" t="s">
        <v>119</v>
      </c>
      <c r="C9" s="19" t="s">
        <v>109</v>
      </c>
      <c r="D9" s="19" t="s">
        <v>110</v>
      </c>
      <c r="E9" s="19" t="n">
        <v>3</v>
      </c>
      <c r="F9" s="19" t="s">
        <v>120</v>
      </c>
      <c r="G9" s="19" t="s">
        <v>121</v>
      </c>
    </row>
    <row r="10" customFormat="false" ht="31.5" hidden="false" customHeight="true" outlineLevel="0" collapsed="false">
      <c r="A10" s="18" t="s">
        <v>78</v>
      </c>
      <c r="B10" s="18" t="s">
        <v>122</v>
      </c>
      <c r="C10" s="18" t="s">
        <v>96</v>
      </c>
      <c r="D10" s="18" t="s">
        <v>101</v>
      </c>
      <c r="E10" s="18" t="n">
        <v>3</v>
      </c>
      <c r="F10" s="18" t="s">
        <v>123</v>
      </c>
      <c r="G10" s="18" t="s">
        <v>124</v>
      </c>
    </row>
    <row r="11" customFormat="false" ht="31.5" hidden="false" customHeight="true" outlineLevel="0" collapsed="false">
      <c r="A11" s="19" t="s">
        <v>79</v>
      </c>
      <c r="B11" s="19" t="s">
        <v>125</v>
      </c>
      <c r="C11" s="19" t="s">
        <v>105</v>
      </c>
      <c r="D11" s="19" t="s">
        <v>92</v>
      </c>
      <c r="E11" s="19" t="n">
        <v>2</v>
      </c>
      <c r="F11" s="19" t="s">
        <v>117</v>
      </c>
      <c r="G11" s="19" t="s">
        <v>126</v>
      </c>
    </row>
    <row r="12" customFormat="false" ht="31.5" hidden="false" customHeight="true" outlineLevel="0" collapsed="false">
      <c r="A12" s="18" t="s">
        <v>80</v>
      </c>
      <c r="B12" s="18" t="s">
        <v>127</v>
      </c>
      <c r="C12" s="18" t="s">
        <v>109</v>
      </c>
      <c r="D12" s="18" t="s">
        <v>110</v>
      </c>
      <c r="E12" s="18" t="n">
        <v>2</v>
      </c>
      <c r="F12" s="18" t="s">
        <v>128</v>
      </c>
      <c r="G12" s="18" t="s">
        <v>129</v>
      </c>
    </row>
    <row r="13" customFormat="false" ht="31.5" hidden="false" customHeight="true" outlineLevel="0" collapsed="false">
      <c r="A13" s="19" t="s">
        <v>81</v>
      </c>
      <c r="B13" s="19" t="s">
        <v>130</v>
      </c>
      <c r="C13" s="19" t="s">
        <v>131</v>
      </c>
      <c r="D13" s="19" t="s">
        <v>92</v>
      </c>
      <c r="E13" s="19" t="n">
        <v>4</v>
      </c>
      <c r="F13" s="19" t="s">
        <v>132</v>
      </c>
      <c r="G13" s="19" t="s">
        <v>133</v>
      </c>
    </row>
    <row r="14" customFormat="false" ht="31.5" hidden="false" customHeight="true" outlineLevel="0" collapsed="false">
      <c r="A14" s="18" t="s">
        <v>82</v>
      </c>
      <c r="B14" s="18" t="s">
        <v>134</v>
      </c>
      <c r="C14" s="18" t="s">
        <v>100</v>
      </c>
      <c r="D14" s="18" t="s">
        <v>101</v>
      </c>
      <c r="E14" s="18" t="n">
        <v>2</v>
      </c>
      <c r="F14" s="18" t="s">
        <v>135</v>
      </c>
      <c r="G14" s="18" t="s">
        <v>136</v>
      </c>
    </row>
    <row r="15" customFormat="false" ht="31.5" hidden="false" customHeight="true" outlineLevel="0" collapsed="false">
      <c r="A15" s="19" t="s">
        <v>83</v>
      </c>
      <c r="B15" s="19" t="s">
        <v>137</v>
      </c>
      <c r="C15" s="19" t="s">
        <v>91</v>
      </c>
      <c r="D15" s="19" t="s">
        <v>92</v>
      </c>
      <c r="E15" s="19" t="n">
        <v>3</v>
      </c>
      <c r="F15" s="19" t="s">
        <v>138</v>
      </c>
      <c r="G15" s="19" t="s">
        <v>139</v>
      </c>
    </row>
    <row r="16" customFormat="false" ht="31.5" hidden="false" customHeight="true" outlineLevel="0" collapsed="false">
      <c r="A16" s="18" t="s">
        <v>84</v>
      </c>
      <c r="B16" s="18" t="s">
        <v>140</v>
      </c>
      <c r="C16" s="18" t="s">
        <v>131</v>
      </c>
      <c r="D16" s="18" t="s">
        <v>110</v>
      </c>
      <c r="E16" s="18" t="n">
        <v>2</v>
      </c>
      <c r="F16" s="18" t="s">
        <v>141</v>
      </c>
      <c r="G16" s="18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2026-05-09T00:48:29Z</dcterms:created>
  <dc:creator>openpyxl</dc:creator>
  <dc:description/>
  <dc:language>en-US</dc:language>
  <cp:lastModifiedBy/>
  <dcterms:modified xsi:type="dcterms:W3CDTF">2026-05-09T00:48:29Z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